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UPUESTO DE MARKETING" sheetId="1" r:id="rId4"/>
    <sheet state="visible" name="PRESUPUESTO DE PERSONAL" sheetId="2" r:id="rId5"/>
    <sheet state="visible" name="INVERSION INICIAL" sheetId="3" r:id="rId6"/>
    <sheet state="visible" name="CAPITAL INICIAL" sheetId="4" r:id="rId7"/>
    <sheet state="visible" name="FLUJO DE EFECTIVO" sheetId="5" r:id="rId8"/>
  </sheets>
  <definedNames/>
  <calcPr/>
  <extLst>
    <ext uri="GoogleSheetsCustomDataVersion2">
      <go:sheetsCustomData xmlns:go="http://customooxmlschemas.google.com/" r:id="rId9" roundtripDataChecksum="e2PAaJQjiXn80NST5W33LMdNSmSbqjYk9memEZMVib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
ID#AAACGzQ_3J0
Unknown Author    (2026-09-09 15:06:46)
[Comentario encadenado]
Su versión de Excel le permite leer este comentario encadenado; sin embargo, las ediciones que se apliquen se quitarán si el archivo se abre en una versión más reciente de Excel. Más información: https://go.microsoft.com/fwlink/?linkid=870924
Comentario:
    Suma de costos totales, gastos totales, presupuesto de personal y total de inversión inicial.</t>
      </text>
    </comment>
  </commentList>
  <extLst>
    <ext uri="GoogleSheetsCustomDataVersion2">
      <go:sheetsCustomData xmlns:go="http://customooxmlschemas.google.com/" r:id="rId1" roundtripDataSignature="AMtx7mj6v1txfNVyOIcpL67f+QRE5UWmOQ=="/>
    </ext>
  </extLst>
</comments>
</file>

<file path=xl/sharedStrings.xml><?xml version="1.0" encoding="utf-8"?>
<sst xmlns="http://schemas.openxmlformats.org/spreadsheetml/2006/main" count="147" uniqueCount="128">
  <si>
    <t>DEDUCCIONES</t>
  </si>
  <si>
    <t>PRORRATEO</t>
  </si>
  <si>
    <t>Maquinas, Equipos y Elementos necesarios (Tangibles)</t>
  </si>
  <si>
    <t>VALOR CAPITAL INICIAL</t>
  </si>
  <si>
    <t>CARGOS</t>
  </si>
  <si>
    <t>Descripcion</t>
  </si>
  <si>
    <t>CANTIDAD</t>
  </si>
  <si>
    <t>SALARIO BASICO</t>
  </si>
  <si>
    <t>AUXILIO DE TRANSPORTE</t>
  </si>
  <si>
    <t>TOTAL DEVENGADO</t>
  </si>
  <si>
    <t>SALUD 4%</t>
  </si>
  <si>
    <t>Cantidad</t>
  </si>
  <si>
    <t>Precio Unitario</t>
  </si>
  <si>
    <t>Valor Total</t>
  </si>
  <si>
    <t>PENSION 4%</t>
  </si>
  <si>
    <t>COSTOS</t>
  </si>
  <si>
    <t>FSP 1%</t>
  </si>
  <si>
    <t>TOTAL A PAGAR</t>
  </si>
  <si>
    <t>Equipos de cómputo (equipo técnico y administrativo)</t>
  </si>
  <si>
    <t>GERENTE GENERAL</t>
  </si>
  <si>
    <t>GASTOS</t>
  </si>
  <si>
    <t>Gastos totales, Costos totales y Inversion Inicial</t>
  </si>
  <si>
    <t>VALOR MENSUAL</t>
  </si>
  <si>
    <t>COSTOS (65%)</t>
  </si>
  <si>
    <t>GASTOS (35%)</t>
  </si>
  <si>
    <t>Escritorios ergonomicos</t>
  </si>
  <si>
    <t>FIJOS</t>
  </si>
  <si>
    <t>Sillas ergonomicas</t>
  </si>
  <si>
    <t>ADMINISTRATIVOS</t>
  </si>
  <si>
    <t>Mesa de reuniones</t>
  </si>
  <si>
    <t>AGUA</t>
  </si>
  <si>
    <t>Router rompemuro</t>
  </si>
  <si>
    <t>ORIGEN DE LOS FONDOS</t>
  </si>
  <si>
    <t>Sofa para recepcion</t>
  </si>
  <si>
    <t>AHORROS</t>
  </si>
  <si>
    <t>GASTO ADMINISTRATIVO</t>
  </si>
  <si>
    <t>letrero</t>
  </si>
  <si>
    <t>PRESTAMOS BANCARIOS</t>
  </si>
  <si>
    <t>LÍDER TÉCNICO (SRE)</t>
  </si>
  <si>
    <t>Alformbra grande</t>
  </si>
  <si>
    <t>NOMINA DE LOS EMPLEADOS (EQUIPO TÉCNICO)</t>
  </si>
  <si>
    <t>COSTO FIJO</t>
  </si>
  <si>
    <t>PRESTAMOS PERSONALES</t>
  </si>
  <si>
    <t>DESARROLLADOR SENIOR FULLSTACK</t>
  </si>
  <si>
    <t>Gran Total</t>
  </si>
  <si>
    <t>PRESTAMOS DE TERCEROS</t>
  </si>
  <si>
    <t>SUBSIDIOS DEL GOBIERNO</t>
  </si>
  <si>
    <t>ESPECIALISTA SOPORTE/ONBOARDING</t>
  </si>
  <si>
    <t>NOMINA ADMINISTRATIVA</t>
  </si>
  <si>
    <t>FONDO (EMPRENDER)</t>
  </si>
  <si>
    <t>CAPITAL SEMILLA</t>
  </si>
  <si>
    <t>INVERSIONISTAS</t>
  </si>
  <si>
    <t>TOTAL</t>
  </si>
  <si>
    <t>LUZ</t>
  </si>
  <si>
    <t>EJECUTIVO DE VENTAS B2B</t>
  </si>
  <si>
    <t>ARRIENDO</t>
  </si>
  <si>
    <t>GASTO DE VENTAS</t>
  </si>
  <si>
    <t>UTILES Y PAPELERIA</t>
  </si>
  <si>
    <t>TOTAL NOMINA</t>
  </si>
  <si>
    <t>INTERNET</t>
  </si>
  <si>
    <t>DOMINIO WEB (visioptica.com) Y SSL (prorrateo mensual)</t>
  </si>
  <si>
    <t>GASTOS DE CAFETERIA</t>
  </si>
  <si>
    <t>GAS</t>
  </si>
  <si>
    <t>SEGURO</t>
  </si>
  <si>
    <t>SMMLV 2026</t>
  </si>
  <si>
    <t>SERVICIOS LEGALES, CONTABLES Y ADMINISTRATIVOS</t>
  </si>
  <si>
    <t>2 SMMLV</t>
  </si>
  <si>
    <t>SUBTOTAL</t>
  </si>
  <si>
    <t>AGUA (prorrateo admin. 35%)</t>
  </si>
  <si>
    <t>4 SMMLV</t>
  </si>
  <si>
    <t>VARIABLES</t>
  </si>
  <si>
    <t>LUZ (prorrateo admin. 35%)</t>
  </si>
  <si>
    <t>Nota: salarios estimados como valores de referencia para un emprendimiento SaaS en etapa inicial (Ibagué), calibrados con las cifras del Modelo Canvas de Visioptica. No provienen de una nómina real ya definida.</t>
  </si>
  <si>
    <t>SERVIDORES CLOUD &amp; HOSTING (AWS/DIGITALOCEAN)</t>
  </si>
  <si>
    <t>GAS (prorrateo admin. 35%)</t>
  </si>
  <si>
    <t>HERRAMIENTAS SAAS (Twilio, SendGrid, GitHub, Google Workspace)</t>
  </si>
  <si>
    <t>INTERNET (prorrateo admin. 35%)</t>
  </si>
  <si>
    <t>SOPORTE Y MANTENIMIENTO TÉCNICO ADICIONAL</t>
  </si>
  <si>
    <t>VENTAS</t>
  </si>
  <si>
    <t>NOMINA COMERCIAL</t>
  </si>
  <si>
    <t>GASTOS DE TRANSPORTE (visitas comerciales a ópticas)</t>
  </si>
  <si>
    <t>INVERSIÓN EN MARKETING DIGITAL &amp; CAMPAÑAS ADS (Google/Meta)</t>
  </si>
  <si>
    <t>EMPAQUES Y EMBALAJES</t>
  </si>
  <si>
    <t>COSTOS TOTALES</t>
  </si>
  <si>
    <t>COMISIONES (2%)</t>
  </si>
  <si>
    <t>FINANCIEROS</t>
  </si>
  <si>
    <t>INTERESES CREDITO</t>
  </si>
  <si>
    <t>IMPUESTO 4 X MIL</t>
  </si>
  <si>
    <t>CUOTAS DE MANEJO</t>
  </si>
  <si>
    <t>CHEQUERA</t>
  </si>
  <si>
    <t>PRESUPUESTO DE VENTAS</t>
  </si>
  <si>
    <t>PLANES / SERVICIOS</t>
  </si>
  <si>
    <t>PRECIO MENSUAL</t>
  </si>
  <si>
    <t>SUSCRIPTORES / SERVICIOS</t>
  </si>
  <si>
    <t>INGRESOS TOTALES</t>
  </si>
  <si>
    <t>GASTOS TOTALES</t>
  </si>
  <si>
    <t>SUSCRIPCIÓN PLAN BÁSICO</t>
  </si>
  <si>
    <t>SUSCRIPCIÓN PLAN PRO</t>
  </si>
  <si>
    <t>GASTOS ANUALES</t>
  </si>
  <si>
    <t>SUSCRIPCIÓN PLAN PREMIUM</t>
  </si>
  <si>
    <t>SERVICIOS ADICIONALES (Módulo Extra, Capacitación, Migración BD)</t>
  </si>
  <si>
    <t>INGRESO ANUAL</t>
  </si>
  <si>
    <t>TOTAL DE VENTAS MENSUALES</t>
  </si>
  <si>
    <t>Nota: fila de servicios adicionales usa un precio promedio ponderado de las 3 líneas del Canvas (Módulo Extra, Capacitación e Implementación, Migración de BD)</t>
  </si>
  <si>
    <t>TABLA DE AMORTIZACION</t>
  </si>
  <si>
    <t>VALOR PRESTAMO</t>
  </si>
  <si>
    <t>TASA DE INTERES</t>
  </si>
  <si>
    <t>PERIODOS</t>
  </si>
  <si>
    <t>CUOTA</t>
  </si>
  <si>
    <t>CAPITAL</t>
  </si>
  <si>
    <t>INTERESES</t>
  </si>
  <si>
    <t>SALDO</t>
  </si>
  <si>
    <t>PLAZO</t>
  </si>
  <si>
    <t>AÑO 1</t>
  </si>
  <si>
    <t>AÑO 2</t>
  </si>
  <si>
    <t>AÑO 3</t>
  </si>
  <si>
    <t>AÑO 4</t>
  </si>
  <si>
    <t>AÑO 5</t>
  </si>
  <si>
    <t>AÑO 6</t>
  </si>
  <si>
    <t>INGRESOS</t>
  </si>
  <si>
    <t>CAPITAL INICIAL</t>
  </si>
  <si>
    <t>TOTAL INGRESOS</t>
  </si>
  <si>
    <t>EGRESOS</t>
  </si>
  <si>
    <t>NOMINA PERSONAL</t>
  </si>
  <si>
    <t>CUOTA PRESTAMO</t>
  </si>
  <si>
    <t>INVERSION ACTIVOS</t>
  </si>
  <si>
    <t>TOTAL EGRESOS</t>
  </si>
  <si>
    <t>Factor de Inflación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</si>
</sst>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quot;$ &quot;* #,##0.00_-;&quot;-$ &quot;* #,##0.00_-;_-&quot;$ &quot;* \-??_-;_-@"/>
    <numFmt numFmtId="165" formatCode="&quot;$&quot;#,##0.00"/>
    <numFmt numFmtId="166" formatCode="_-[$$-240A]\ * #,##0.00_-;\-[$$-240A]\ * #,##0.00_-;_-[$$-240A]\ * &quot;-&quot;??_-;_-@"/>
    <numFmt numFmtId="167" formatCode="&quot;$ &quot;#,##0.00;[Red]&quot;-$ &quot;#,##0.00"/>
  </numFmts>
  <fonts count="9">
    <font>
      <sz val="11.0"/>
      <color theme="1"/>
      <name val="Aptos Narrow"/>
      <scheme val="minor"/>
    </font>
    <font>
      <sz val="11.0"/>
      <color theme="1"/>
      <name val="Aptos Narrow"/>
    </font>
    <font>
      <sz val="11.0"/>
      <color theme="1"/>
      <name val="Cavolini"/>
    </font>
    <font>
      <b/>
      <sz val="11.0"/>
      <color theme="1"/>
      <name val="Aptos Narrow"/>
    </font>
    <font/>
    <font>
      <b/>
      <sz val="11.0"/>
      <color theme="1"/>
      <name val="Cavolini"/>
    </font>
    <font>
      <sz val="11.0"/>
      <color theme="1"/>
      <name val="Arial"/>
    </font>
    <font>
      <sz val="10.0"/>
      <color theme="1"/>
      <name val="Arial"/>
    </font>
    <font>
      <b/>
      <sz val="11.0"/>
      <color theme="1"/>
      <name val="Arial"/>
    </font>
  </fonts>
  <fills count="12">
    <fill>
      <patternFill patternType="none"/>
    </fill>
    <fill>
      <patternFill patternType="lightGray"/>
    </fill>
    <fill>
      <patternFill patternType="solid">
        <fgColor theme="0"/>
        <bgColor theme="0"/>
      </patternFill>
    </fill>
    <fill>
      <patternFill patternType="solid">
        <fgColor rgb="FFF1A983"/>
        <bgColor rgb="FFF1A983"/>
      </patternFill>
    </fill>
    <fill>
      <patternFill patternType="solid">
        <fgColor rgb="FFFF9900"/>
        <bgColor rgb="FFFF9900"/>
      </patternFill>
    </fill>
    <fill>
      <patternFill patternType="solid">
        <fgColor rgb="FF8ED873"/>
        <bgColor rgb="FF8ED873"/>
      </patternFill>
    </fill>
    <fill>
      <patternFill patternType="solid">
        <fgColor rgb="FFFFC000"/>
        <bgColor rgb="FFFFC000"/>
      </patternFill>
    </fill>
    <fill>
      <patternFill patternType="solid">
        <fgColor rgb="FF47D45A"/>
        <bgColor rgb="FF47D45A"/>
      </patternFill>
    </fill>
    <fill>
      <patternFill patternType="solid">
        <fgColor rgb="FF95DCF7"/>
        <bgColor rgb="FF95DCF7"/>
      </patternFill>
    </fill>
    <fill>
      <patternFill patternType="solid">
        <fgColor rgb="FFAEAEAE"/>
        <bgColor rgb="FFAEAEAE"/>
      </patternFill>
    </fill>
    <fill>
      <patternFill patternType="solid">
        <fgColor rgb="FF92D050"/>
        <bgColor rgb="FF92D050"/>
      </patternFill>
    </fill>
    <fill>
      <patternFill patternType="solid">
        <fgColor rgb="FFFFFF00"/>
        <bgColor rgb="FFFFFF00"/>
      </patternFill>
    </fill>
  </fills>
  <borders count="19">
    <border/>
    <border>
      <left/>
      <right/>
      <top/>
      <bottom/>
    </border>
    <border>
      <left style="thin">
        <color rgb="FF000000"/>
      </left>
      <top style="thin">
        <color rgb="FF000000"/>
      </top>
      <bottom style="thin">
        <color rgb="FF000000"/>
      </bottom>
    </border>
    <border>
      <left/>
      <right/>
      <top/>
    </border>
    <border>
      <top style="thin">
        <color rgb="FF000000"/>
      </top>
      <bottom style="thin">
        <color rgb="FF000000"/>
      </bottom>
    </border>
    <border>
      <right style="thin">
        <color rgb="FF000000"/>
      </right>
      <top style="thin">
        <color rgb="FF000000"/>
      </top>
      <bottom style="thin">
        <color rgb="FF000000"/>
      </bottom>
    </border>
    <border>
      <left/>
      <top/>
    </border>
    <border>
      <left style="thin">
        <color rgb="FF000000"/>
      </left>
      <right style="thin">
        <color rgb="FF000000"/>
      </right>
      <top style="thin">
        <color rgb="FF000000"/>
      </top>
      <bottom style="thin">
        <color rgb="FF000000"/>
      </bottom>
    </border>
    <border>
      <right/>
      <top/>
    </border>
    <border>
      <left style="thin">
        <color rgb="FF000000"/>
      </left>
      <right style="thin">
        <color rgb="FF000000"/>
      </right>
      <top style="thin">
        <color rgb="FF000000"/>
      </top>
      <bottom/>
    </border>
    <border>
      <right/>
      <top/>
      <bottom/>
    </border>
    <border>
      <left/>
      <top/>
      <bottom/>
    </border>
    <border>
      <left/>
      <right/>
      <bottom/>
    </border>
    <border>
      <left style="thin">
        <color rgb="FF000000"/>
      </left>
      <right style="thin">
        <color rgb="FF000000"/>
      </right>
      <top/>
    </border>
    <border>
      <left/>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top style="thin">
        <color rgb="FF000000"/>
      </top>
    </border>
    <border>
      <left style="thin">
        <color rgb="FF000000"/>
      </left>
      <right/>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2" fillId="2" fontId="3" numFmtId="0" xfId="0" applyAlignment="1" applyBorder="1" applyFill="1" applyFont="1">
      <alignment horizontal="center"/>
    </xf>
    <xf borderId="3" fillId="2" fontId="2" numFmtId="0" xfId="0" applyBorder="1" applyFill="1" applyFont="1"/>
    <xf borderId="4" fillId="0" fontId="4" numFmtId="0" xfId="0" applyBorder="1" applyFont="1"/>
    <xf borderId="5" fillId="0" fontId="4" numFmtId="0" xfId="0" applyBorder="1" applyFont="1"/>
    <xf borderId="6" fillId="2" fontId="5" numFmtId="0" xfId="0" applyAlignment="1" applyBorder="1" applyFill="1" applyFont="1">
      <alignment horizontal="center" vertical="center"/>
    </xf>
    <xf borderId="7" fillId="2" fontId="3" numFmtId="0" xfId="0" applyBorder="1" applyFill="1" applyFont="1"/>
    <xf borderId="8" fillId="0" fontId="4" numFmtId="0" xfId="0" applyBorder="1" applyFont="1"/>
    <xf borderId="7" fillId="2" fontId="3" numFmtId="0" xfId="0" applyAlignment="1" applyBorder="1" applyFill="1" applyFont="1">
      <alignment horizontal="center"/>
    </xf>
    <xf borderId="7" fillId="2" fontId="3" numFmtId="0" xfId="0" applyAlignment="1" applyBorder="1" applyFill="1" applyFont="1">
      <alignment horizontal="center" vertical="center"/>
    </xf>
    <xf borderId="7" fillId="3" fontId="5" numFmtId="0" xfId="0" applyBorder="1" applyFill="1" applyFont="1"/>
    <xf borderId="7" fillId="2" fontId="1" numFmtId="0" xfId="0" applyBorder="1" applyFill="1" applyFont="1"/>
    <xf borderId="7" fillId="2" fontId="1" numFmtId="164" xfId="0" applyBorder="1" applyFill="1" applyFont="1" applyNumberFormat="1"/>
    <xf borderId="7" fillId="4" fontId="5" numFmtId="0" xfId="0" applyBorder="1" applyFill="1" applyFont="1"/>
    <xf borderId="7" fillId="2" fontId="6" numFmtId="164" xfId="0" applyAlignment="1" applyBorder="1" applyFill="1" applyFont="1" applyNumberFormat="1">
      <alignment readingOrder="0"/>
    </xf>
    <xf borderId="7" fillId="5" fontId="3" numFmtId="164" xfId="0" applyBorder="1" applyFill="1" applyFont="1" applyNumberFormat="1"/>
    <xf borderId="6" fillId="2" fontId="2" numFmtId="0" xfId="0" applyBorder="1" applyFill="1" applyFont="1"/>
    <xf borderId="7" fillId="2" fontId="5" numFmtId="0" xfId="0" applyAlignment="1" applyBorder="1" applyFill="1" applyFont="1">
      <alignment horizontal="center" vertical="center"/>
    </xf>
    <xf borderId="9" fillId="2" fontId="1" numFmtId="164" xfId="0" applyBorder="1" applyFill="1" applyFont="1" applyNumberFormat="1"/>
    <xf borderId="7" fillId="2" fontId="5" numFmtId="0" xfId="0" applyAlignment="1" applyBorder="1" applyFill="1" applyFont="1">
      <alignment horizontal="center"/>
    </xf>
    <xf borderId="7" fillId="2" fontId="6" numFmtId="0" xfId="0" applyAlignment="1" applyBorder="1" applyFill="1" applyFont="1">
      <alignment readingOrder="0"/>
    </xf>
    <xf borderId="10" fillId="2" fontId="2" numFmtId="0" xfId="0" applyBorder="1" applyFill="1" applyFont="1"/>
    <xf borderId="1" fillId="2" fontId="1" numFmtId="164" xfId="0" applyBorder="1" applyFill="1" applyFont="1" applyNumberFormat="1"/>
    <xf borderId="1" fillId="2" fontId="5" numFmtId="0" xfId="0" applyAlignment="1" applyBorder="1" applyFill="1" applyFont="1">
      <alignment horizontal="center"/>
    </xf>
    <xf borderId="11" fillId="2" fontId="2" numFmtId="0" xfId="0" applyBorder="1" applyFill="1" applyFont="1"/>
    <xf borderId="7" fillId="2" fontId="5" numFmtId="0" xfId="0" applyBorder="1" applyFill="1" applyFont="1"/>
    <xf borderId="7" fillId="2" fontId="2" numFmtId="164" xfId="0" applyBorder="1" applyFill="1" applyFont="1" applyNumberFormat="1"/>
    <xf borderId="11" fillId="2" fontId="1" numFmtId="0" xfId="0" applyBorder="1" applyFill="1" applyFont="1"/>
    <xf borderId="10" fillId="2" fontId="1" numFmtId="0" xfId="0" applyBorder="1" applyFill="1" applyFont="1"/>
    <xf borderId="7" fillId="2" fontId="6" numFmtId="165" xfId="0" applyAlignment="1" applyBorder="1" applyFill="1" applyFont="1" applyNumberFormat="1">
      <alignment readingOrder="0"/>
    </xf>
    <xf borderId="7" fillId="2" fontId="6" numFmtId="165" xfId="0" applyAlignment="1" applyBorder="1" applyFill="1" applyFont="1" applyNumberFormat="1">
      <alignment readingOrder="0"/>
    </xf>
    <xf borderId="7" fillId="2" fontId="6" numFmtId="0" xfId="0" applyAlignment="1" applyBorder="1" applyFill="1" applyFont="1">
      <alignment horizontal="left" readingOrder="0"/>
    </xf>
    <xf borderId="12" fillId="2" fontId="1" numFmtId="0" xfId="0" applyBorder="1" applyFill="1" applyFont="1"/>
    <xf borderId="7" fillId="0" fontId="7" numFmtId="166" xfId="0" applyBorder="1" applyFont="1" applyNumberFormat="1"/>
    <xf borderId="7" fillId="6" fontId="2" numFmtId="164" xfId="0" applyBorder="1" applyFill="1" applyFont="1" applyNumberFormat="1"/>
    <xf borderId="7" fillId="2" fontId="2" numFmtId="0" xfId="0" applyAlignment="1" applyBorder="1" applyFill="1" applyFont="1">
      <alignment horizontal="left"/>
    </xf>
    <xf borderId="9" fillId="2" fontId="1" numFmtId="0" xfId="0" applyBorder="1" applyFill="1" applyFont="1"/>
    <xf borderId="7" fillId="6" fontId="2" numFmtId="165" xfId="0" applyBorder="1" applyFill="1" applyFont="1" applyNumberFormat="1"/>
    <xf borderId="1" fillId="2" fontId="3" numFmtId="0" xfId="0" applyBorder="1" applyFill="1" applyFont="1"/>
    <xf borderId="7" fillId="2" fontId="1" numFmtId="165" xfId="0" applyBorder="1" applyFill="1" applyFont="1" applyNumberFormat="1"/>
    <xf borderId="7" fillId="2" fontId="3" numFmtId="164" xfId="0" applyBorder="1" applyFill="1" applyFont="1" applyNumberFormat="1"/>
    <xf borderId="7" fillId="2" fontId="2" numFmtId="165" xfId="0" applyBorder="1" applyFill="1" applyFont="1" applyNumberFormat="1"/>
    <xf borderId="7" fillId="2" fontId="2" numFmtId="165" xfId="0" applyBorder="1" applyFill="1" applyFont="1" applyNumberFormat="1"/>
    <xf borderId="7" fillId="6" fontId="1" numFmtId="0" xfId="0" applyBorder="1" applyFill="1" applyFont="1"/>
    <xf borderId="7" fillId="6" fontId="1" numFmtId="164" xfId="0" applyBorder="1" applyFill="1" applyFont="1" applyNumberFormat="1"/>
    <xf borderId="7" fillId="2" fontId="6" numFmtId="0" xfId="0" applyAlignment="1" applyBorder="1" applyFill="1" applyFont="1">
      <alignment horizontal="left" readingOrder="0"/>
    </xf>
    <xf borderId="7" fillId="2" fontId="6" numFmtId="165" xfId="0" applyAlignment="1" applyBorder="1" applyFill="1" applyFont="1" applyNumberFormat="1">
      <alignment readingOrder="0"/>
    </xf>
    <xf borderId="13" fillId="2" fontId="6" numFmtId="0" xfId="0" applyAlignment="1" applyBorder="1" applyFill="1" applyFont="1">
      <alignment horizontal="left" readingOrder="0"/>
    </xf>
    <xf borderId="7" fillId="7" fontId="1" numFmtId="0" xfId="0" applyBorder="1" applyFill="1" applyFont="1"/>
    <xf borderId="0" fillId="2" fontId="8" numFmtId="0" xfId="0" applyAlignment="1" applyFill="1" applyFont="1">
      <alignment readingOrder="0"/>
    </xf>
    <xf borderId="7" fillId="7" fontId="1" numFmtId="164" xfId="0" applyBorder="1" applyFill="1" applyFont="1" applyNumberFormat="1"/>
    <xf borderId="0" fillId="2" fontId="2" numFmtId="0" xfId="0" applyFill="1" applyFont="1"/>
    <xf borderId="7" fillId="2" fontId="5" numFmtId="0" xfId="0" applyAlignment="1" applyBorder="1" applyFill="1" applyFont="1">
      <alignment horizontal="left"/>
    </xf>
    <xf borderId="7" fillId="8" fontId="1" numFmtId="0" xfId="0" applyBorder="1" applyFill="1" applyFont="1"/>
    <xf borderId="7" fillId="8" fontId="1" numFmtId="164" xfId="0" applyBorder="1" applyFill="1" applyFont="1" applyNumberFormat="1"/>
    <xf borderId="12" fillId="2" fontId="5" numFmtId="0" xfId="0" applyBorder="1" applyFill="1" applyFont="1"/>
    <xf borderId="12" fillId="2" fontId="2" numFmtId="0" xfId="0" applyBorder="1" applyFill="1" applyFont="1"/>
    <xf borderId="7" fillId="2" fontId="5" numFmtId="165" xfId="0" applyBorder="1" applyFill="1" applyFont="1" applyNumberFormat="1"/>
    <xf borderId="1" fillId="2" fontId="6" numFmtId="0" xfId="0" applyAlignment="1" applyBorder="1" applyFill="1" applyFont="1">
      <alignment readingOrder="0"/>
    </xf>
    <xf borderId="7" fillId="2" fontId="5" numFmtId="165" xfId="0" applyBorder="1" applyFill="1" applyFont="1" applyNumberFormat="1"/>
    <xf borderId="1" fillId="2" fontId="2" numFmtId="164" xfId="0" applyBorder="1" applyFill="1" applyFont="1" applyNumberFormat="1"/>
    <xf borderId="7" fillId="2" fontId="2" numFmtId="0" xfId="0" applyBorder="1" applyFill="1" applyFont="1"/>
    <xf borderId="2" fillId="5" fontId="5" numFmtId="0" xfId="0" applyAlignment="1" applyBorder="1" applyFill="1" applyFont="1">
      <alignment horizontal="center"/>
    </xf>
    <xf borderId="0" fillId="0" fontId="5" numFmtId="0" xfId="0" applyAlignment="1" applyFont="1">
      <alignment horizontal="center"/>
    </xf>
    <xf borderId="7" fillId="2" fontId="5" numFmtId="0" xfId="0" applyAlignment="1" applyBorder="1" applyFill="1" applyFont="1">
      <alignment horizontal="center" shrinkToFit="0" vertical="center" wrapText="1"/>
    </xf>
    <xf borderId="0" fillId="0" fontId="5" numFmtId="0" xfId="0" applyAlignment="1" applyFont="1">
      <alignment horizontal="center" vertical="center"/>
    </xf>
    <xf borderId="11" fillId="2" fontId="2" numFmtId="164" xfId="0" applyBorder="1" applyFill="1" applyFont="1" applyNumberFormat="1"/>
    <xf borderId="7" fillId="2" fontId="8" numFmtId="0" xfId="0" applyAlignment="1" applyBorder="1" applyFill="1" applyFont="1">
      <alignment readingOrder="0"/>
    </xf>
    <xf borderId="14" fillId="2" fontId="2" numFmtId="0" xfId="0" applyBorder="1" applyFill="1" applyFont="1"/>
    <xf borderId="7" fillId="2" fontId="5" numFmtId="164" xfId="0" applyBorder="1" applyFill="1" applyFont="1" applyNumberFormat="1"/>
    <xf borderId="11" fillId="2" fontId="5" numFmtId="164" xfId="0" applyBorder="1" applyFill="1" applyFont="1" applyNumberFormat="1"/>
    <xf borderId="15" fillId="9" fontId="2" numFmtId="0" xfId="0" applyAlignment="1" applyBorder="1" applyFill="1" applyFont="1">
      <alignment horizontal="center" vertical="center"/>
    </xf>
    <xf borderId="1" fillId="2" fontId="2" numFmtId="167" xfId="0" applyBorder="1" applyFill="1" applyFont="1" applyNumberFormat="1"/>
    <xf borderId="2" fillId="2" fontId="2" numFmtId="0" xfId="0" applyAlignment="1" applyBorder="1" applyFill="1" applyFont="1">
      <alignment horizontal="center"/>
    </xf>
    <xf borderId="7" fillId="10" fontId="2" numFmtId="164" xfId="0" applyBorder="1" applyFill="1" applyFont="1" applyNumberFormat="1"/>
    <xf borderId="16" fillId="0" fontId="4" numFmtId="0" xfId="0" applyBorder="1" applyFont="1"/>
    <xf borderId="7" fillId="10" fontId="2" numFmtId="10" xfId="0" applyBorder="1" applyFill="1" applyFont="1" applyNumberFormat="1"/>
    <xf borderId="7" fillId="10" fontId="2" numFmtId="0" xfId="0" applyBorder="1" applyFill="1" applyFont="1"/>
    <xf borderId="7" fillId="2" fontId="2" numFmtId="0" xfId="0" applyAlignment="1" applyBorder="1" applyFill="1" applyFont="1">
      <alignment horizontal="center" vertical="center"/>
    </xf>
    <xf borderId="7" fillId="2" fontId="2" numFmtId="164" xfId="0" applyAlignment="1" applyBorder="1" applyFill="1" applyFont="1" applyNumberFormat="1">
      <alignment horizontal="center" vertical="center"/>
    </xf>
    <xf borderId="15" fillId="2" fontId="2" numFmtId="0" xfId="0" applyAlignment="1" applyBorder="1" applyFill="1" applyFont="1">
      <alignment horizontal="center" vertical="center"/>
    </xf>
    <xf borderId="17" fillId="2" fontId="2" numFmtId="167" xfId="0" applyAlignment="1" applyBorder="1" applyFill="1" applyFont="1" applyNumberFormat="1">
      <alignment horizontal="center" vertical="center"/>
    </xf>
    <xf borderId="7" fillId="2" fontId="2" numFmtId="167" xfId="0" applyAlignment="1" applyBorder="1" applyFill="1" applyFont="1" applyNumberFormat="1">
      <alignment horizontal="center" vertical="center"/>
    </xf>
    <xf borderId="7" fillId="11" fontId="2" numFmtId="164" xfId="0" applyAlignment="1" applyBorder="1" applyFill="1" applyFont="1" applyNumberFormat="1">
      <alignment horizontal="center" vertical="center"/>
    </xf>
    <xf borderId="18" fillId="0" fontId="4" numFmtId="0" xfId="0" applyBorder="1" applyFont="1"/>
    <xf borderId="7" fillId="2" fontId="2" numFmtId="167" xfId="0" applyBorder="1" applyFill="1" applyFont="1" applyNumberFormat="1"/>
    <xf borderId="7" fillId="2" fontId="1" numFmtId="0" xfId="0" applyAlignment="1" applyBorder="1" applyFill="1" applyFont="1">
      <alignment horizontal="left"/>
    </xf>
    <xf borderId="7" fillId="11" fontId="1" numFmtId="164" xfId="0" applyBorder="1" applyFill="1" applyFont="1" applyNumberFormat="1"/>
    <xf borderId="7" fillId="2" fontId="1" numFmtId="167" xfId="0" applyBorder="1" applyFill="1" applyFont="1" applyNumberFormat="1"/>
    <xf borderId="1" fillId="2" fontId="1" numFmtId="10" xfId="0" applyBorder="1" applyFill="1"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1.38"/>
    <col customWidth="1" min="2" max="2" width="38.38"/>
    <col customWidth="1" min="3" max="3" width="26.38"/>
    <col customWidth="1" min="4" max="4" width="21.13"/>
    <col customWidth="1" min="5" max="6" width="21.63"/>
    <col customWidth="1" min="7" max="7" width="34.25"/>
    <col customWidth="1" min="8" max="8" width="22.63"/>
    <col customWidth="1" min="9" max="9" width="9.25"/>
    <col customWidth="1" min="10" max="10" width="15.13"/>
    <col customWidth="1" min="11" max="11" width="21.13"/>
    <col customWidth="1" min="12" max="13" width="18.0"/>
    <col customWidth="1" min="14" max="26" width="11.38"/>
  </cols>
  <sheetData>
    <row r="1" ht="16.5" customHeight="1">
      <c r="A1" s="2"/>
      <c r="B1" s="2"/>
      <c r="C1" s="2"/>
      <c r="D1" s="2"/>
      <c r="E1" s="2"/>
      <c r="F1" s="2"/>
      <c r="G1" s="2"/>
      <c r="H1" s="2"/>
      <c r="I1" s="2"/>
      <c r="J1" s="2"/>
      <c r="K1" s="2"/>
      <c r="L1" s="2"/>
      <c r="M1" s="2"/>
      <c r="N1" s="2"/>
      <c r="O1" s="2"/>
      <c r="P1" s="2"/>
      <c r="Q1" s="2"/>
      <c r="R1" s="2"/>
      <c r="S1" s="2"/>
      <c r="T1" s="2"/>
      <c r="U1" s="2"/>
      <c r="V1" s="2"/>
      <c r="W1" s="2"/>
      <c r="X1" s="2"/>
      <c r="Y1" s="2"/>
      <c r="Z1" s="2"/>
    </row>
    <row r="2" ht="16.5" customHeight="1">
      <c r="A2" s="2"/>
      <c r="B2" s="2"/>
      <c r="C2" s="2"/>
      <c r="D2" s="2"/>
      <c r="E2" s="2"/>
      <c r="F2" s="2"/>
      <c r="G2" s="2"/>
      <c r="H2" s="2"/>
      <c r="I2" s="2"/>
      <c r="J2" s="2"/>
      <c r="K2" s="4"/>
      <c r="L2" s="7" t="s">
        <v>1</v>
      </c>
      <c r="M2" s="9"/>
      <c r="N2" s="2"/>
      <c r="O2" s="2"/>
      <c r="P2" s="2"/>
      <c r="Q2" s="2"/>
      <c r="R2" s="2"/>
      <c r="S2" s="2"/>
      <c r="T2" s="2"/>
      <c r="U2" s="2"/>
      <c r="V2" s="2"/>
      <c r="W2" s="2"/>
      <c r="X2" s="2"/>
      <c r="Y2" s="2"/>
      <c r="Z2" s="2"/>
    </row>
    <row r="3" ht="16.5" customHeight="1">
      <c r="A3" s="2"/>
      <c r="B3" s="12" t="s">
        <v>15</v>
      </c>
      <c r="C3" s="2"/>
      <c r="D3" s="2"/>
      <c r="E3" s="2"/>
      <c r="F3" s="2"/>
      <c r="G3" s="15" t="s">
        <v>20</v>
      </c>
      <c r="H3" s="2"/>
      <c r="I3" s="2"/>
      <c r="J3" s="18"/>
      <c r="K3" s="19" t="s">
        <v>22</v>
      </c>
      <c r="L3" s="21" t="s">
        <v>23</v>
      </c>
      <c r="M3" s="21" t="s">
        <v>24</v>
      </c>
      <c r="N3" s="23"/>
      <c r="O3" s="2"/>
      <c r="P3" s="2"/>
      <c r="Q3" s="2"/>
      <c r="R3" s="2"/>
      <c r="S3" s="2"/>
      <c r="T3" s="2"/>
      <c r="U3" s="2"/>
      <c r="V3" s="2"/>
      <c r="W3" s="2"/>
      <c r="X3" s="2"/>
      <c r="Y3" s="2"/>
      <c r="Z3" s="2"/>
    </row>
    <row r="4" ht="16.5" customHeight="1">
      <c r="A4" s="2"/>
      <c r="B4" s="19" t="s">
        <v>26</v>
      </c>
      <c r="C4" s="25" t="s">
        <v>22</v>
      </c>
      <c r="D4" s="2"/>
      <c r="E4" s="2"/>
      <c r="F4" s="2"/>
      <c r="G4" s="19" t="s">
        <v>28</v>
      </c>
      <c r="H4" s="25" t="s">
        <v>22</v>
      </c>
      <c r="I4" s="26"/>
      <c r="J4" s="27" t="s">
        <v>30</v>
      </c>
      <c r="K4" s="28">
        <v>150000.0</v>
      </c>
      <c r="L4" s="28">
        <f t="shared" ref="L4:L7" si="1">K4*0.65</f>
        <v>97500</v>
      </c>
      <c r="M4" s="28">
        <f t="shared" ref="M4:M7" si="2">K4*0.35</f>
        <v>52500</v>
      </c>
      <c r="N4" s="23"/>
      <c r="O4" s="2"/>
      <c r="P4" s="2"/>
      <c r="Q4" s="2"/>
      <c r="R4" s="2"/>
      <c r="S4" s="2"/>
      <c r="T4" s="2"/>
      <c r="U4" s="2"/>
      <c r="V4" s="2"/>
      <c r="W4" s="2"/>
      <c r="X4" s="2"/>
      <c r="Y4" s="2"/>
      <c r="Z4" s="2"/>
    </row>
    <row r="5" ht="16.5" customHeight="1">
      <c r="A5" s="2"/>
      <c r="B5" s="33" t="s">
        <v>40</v>
      </c>
      <c r="C5" s="36">
        <f>SUM('PRESUPUESTO DE PERSONAL'!L6:L8)</f>
        <v>15889095</v>
      </c>
      <c r="D5" s="2"/>
      <c r="E5" s="2"/>
      <c r="F5" s="2"/>
      <c r="G5" s="37" t="s">
        <v>48</v>
      </c>
      <c r="H5" s="39">
        <f>SUM('PRESUPUESTO DE PERSONAL'!L5, 'PRESUPUESTO DE PERSONAL'!L9)</f>
        <v>7333095</v>
      </c>
      <c r="I5" s="26"/>
      <c r="J5" s="27" t="s">
        <v>53</v>
      </c>
      <c r="K5" s="28">
        <v>400000.0</v>
      </c>
      <c r="L5" s="28">
        <f t="shared" si="1"/>
        <v>260000</v>
      </c>
      <c r="M5" s="28">
        <f t="shared" si="2"/>
        <v>140000</v>
      </c>
      <c r="N5" s="23"/>
      <c r="O5" s="2"/>
      <c r="P5" s="2"/>
      <c r="Q5" s="2"/>
      <c r="R5" s="2"/>
      <c r="S5" s="2"/>
      <c r="T5" s="2"/>
      <c r="U5" s="2"/>
      <c r="V5" s="2"/>
      <c r="W5" s="2"/>
      <c r="X5" s="2"/>
      <c r="Y5" s="2"/>
      <c r="Z5" s="2"/>
    </row>
    <row r="6" ht="16.5" customHeight="1">
      <c r="A6" s="2"/>
      <c r="B6" s="37" t="s">
        <v>55</v>
      </c>
      <c r="C6" s="43">
        <v>1800000.0</v>
      </c>
      <c r="D6" s="2"/>
      <c r="E6" s="2"/>
      <c r="F6" s="2"/>
      <c r="G6" s="37" t="s">
        <v>57</v>
      </c>
      <c r="H6" s="44">
        <v>100000.0</v>
      </c>
      <c r="I6" s="26"/>
      <c r="J6" s="27" t="s">
        <v>59</v>
      </c>
      <c r="K6" s="28">
        <v>150000.0</v>
      </c>
      <c r="L6" s="28">
        <f t="shared" si="1"/>
        <v>97500</v>
      </c>
      <c r="M6" s="28">
        <f t="shared" si="2"/>
        <v>52500</v>
      </c>
      <c r="N6" s="23"/>
      <c r="O6" s="2"/>
      <c r="P6" s="2"/>
      <c r="Q6" s="2"/>
      <c r="R6" s="2"/>
      <c r="S6" s="2"/>
      <c r="T6" s="2"/>
      <c r="U6" s="2"/>
      <c r="V6" s="2"/>
      <c r="W6" s="2"/>
      <c r="X6" s="2"/>
      <c r="Y6" s="2"/>
      <c r="Z6" s="2"/>
    </row>
    <row r="7" ht="16.5" customHeight="1">
      <c r="A7" s="2"/>
      <c r="B7" s="37" t="s">
        <v>60</v>
      </c>
      <c r="C7" s="43">
        <v>50000.0</v>
      </c>
      <c r="D7" s="2"/>
      <c r="E7" s="2"/>
      <c r="F7" s="2"/>
      <c r="G7" s="37" t="s">
        <v>61</v>
      </c>
      <c r="H7" s="44">
        <v>150000.0</v>
      </c>
      <c r="I7" s="26"/>
      <c r="J7" s="27" t="s">
        <v>62</v>
      </c>
      <c r="K7" s="28">
        <v>100000.0</v>
      </c>
      <c r="L7" s="28">
        <f t="shared" si="1"/>
        <v>65000</v>
      </c>
      <c r="M7" s="28">
        <f t="shared" si="2"/>
        <v>35000</v>
      </c>
      <c r="N7" s="23"/>
      <c r="O7" s="2"/>
      <c r="P7" s="2"/>
      <c r="Q7" s="2"/>
      <c r="R7" s="2"/>
      <c r="S7" s="2"/>
      <c r="T7" s="2"/>
      <c r="U7" s="2"/>
      <c r="V7" s="2"/>
      <c r="W7" s="2"/>
      <c r="X7" s="2"/>
      <c r="Y7" s="2"/>
      <c r="Z7" s="2"/>
    </row>
    <row r="8" ht="16.5" customHeight="1">
      <c r="A8" s="26"/>
      <c r="B8" s="47" t="s">
        <v>63</v>
      </c>
      <c r="C8" s="48">
        <v>40000.0</v>
      </c>
      <c r="D8" s="2"/>
      <c r="E8" s="2"/>
      <c r="F8" s="2"/>
      <c r="G8" s="49" t="s">
        <v>65</v>
      </c>
      <c r="H8" s="43">
        <v>800000.0</v>
      </c>
      <c r="I8" s="26"/>
      <c r="J8" s="51" t="s">
        <v>63</v>
      </c>
      <c r="K8" s="53"/>
      <c r="L8" s="53"/>
      <c r="M8" s="53"/>
      <c r="N8" s="23"/>
      <c r="O8" s="2"/>
      <c r="P8" s="2"/>
      <c r="Q8" s="2"/>
      <c r="R8" s="2"/>
      <c r="S8" s="2"/>
      <c r="T8" s="2"/>
      <c r="U8" s="2"/>
      <c r="V8" s="2"/>
      <c r="W8" s="2"/>
      <c r="X8" s="2"/>
      <c r="Y8" s="2"/>
      <c r="Z8" s="2"/>
    </row>
    <row r="9" ht="16.5" customHeight="1">
      <c r="A9" s="2"/>
      <c r="B9" s="54" t="s">
        <v>67</v>
      </c>
      <c r="C9" s="43">
        <f>SUM(C5:C8)</f>
        <v>17779095</v>
      </c>
      <c r="D9" s="2"/>
      <c r="E9" s="2"/>
      <c r="F9" s="2"/>
      <c r="G9" s="37" t="s">
        <v>68</v>
      </c>
      <c r="H9" s="44">
        <f t="shared" ref="H9:H10" si="3">M4</f>
        <v>52500</v>
      </c>
      <c r="I9" s="2"/>
      <c r="J9" s="57"/>
      <c r="K9" s="58"/>
      <c r="L9" s="58"/>
      <c r="M9" s="58"/>
      <c r="N9" s="2"/>
      <c r="O9" s="2"/>
      <c r="P9" s="2"/>
      <c r="Q9" s="2"/>
      <c r="R9" s="2"/>
      <c r="S9" s="2"/>
      <c r="T9" s="2"/>
      <c r="U9" s="2"/>
      <c r="V9" s="2"/>
      <c r="W9" s="2"/>
      <c r="X9" s="2"/>
      <c r="Y9" s="2"/>
      <c r="Z9" s="2"/>
    </row>
    <row r="10" ht="16.5" customHeight="1">
      <c r="A10" s="2"/>
      <c r="B10" s="19" t="s">
        <v>70</v>
      </c>
      <c r="C10" s="43"/>
      <c r="D10" s="2"/>
      <c r="E10" s="2"/>
      <c r="F10" s="2"/>
      <c r="G10" s="37" t="s">
        <v>71</v>
      </c>
      <c r="H10" s="44">
        <f t="shared" si="3"/>
        <v>140000</v>
      </c>
      <c r="I10" s="2"/>
      <c r="J10" s="2"/>
      <c r="K10" s="2"/>
      <c r="L10" s="2"/>
      <c r="M10" s="2"/>
      <c r="N10" s="2"/>
      <c r="O10" s="2"/>
      <c r="P10" s="2"/>
      <c r="Q10" s="2"/>
      <c r="R10" s="2"/>
      <c r="S10" s="2"/>
      <c r="T10" s="2"/>
      <c r="U10" s="2"/>
      <c r="V10" s="2"/>
      <c r="W10" s="2"/>
      <c r="X10" s="2"/>
      <c r="Y10" s="2"/>
      <c r="Z10" s="2"/>
    </row>
    <row r="11" ht="16.5" customHeight="1">
      <c r="A11" s="2"/>
      <c r="B11" s="37" t="s">
        <v>73</v>
      </c>
      <c r="C11" s="48">
        <v>2000000.0</v>
      </c>
      <c r="D11" s="2"/>
      <c r="E11" s="2"/>
      <c r="F11" s="2"/>
      <c r="G11" s="37" t="s">
        <v>74</v>
      </c>
      <c r="H11" s="44">
        <f>M7</f>
        <v>35000</v>
      </c>
      <c r="I11" s="2"/>
      <c r="J11" s="2"/>
      <c r="K11" s="2"/>
      <c r="L11" s="2"/>
      <c r="M11" s="2"/>
      <c r="N11" s="2"/>
      <c r="O11" s="2"/>
      <c r="P11" s="2"/>
      <c r="Q11" s="2"/>
      <c r="R11" s="2"/>
      <c r="S11" s="2"/>
      <c r="T11" s="2"/>
      <c r="U11" s="2"/>
      <c r="V11" s="2"/>
      <c r="W11" s="2"/>
      <c r="X11" s="2"/>
      <c r="Y11" s="2"/>
      <c r="Z11" s="2"/>
    </row>
    <row r="12" ht="16.5" customHeight="1">
      <c r="A12" s="2"/>
      <c r="B12" s="33" t="s">
        <v>75</v>
      </c>
      <c r="C12" s="43">
        <v>1200000.0</v>
      </c>
      <c r="D12" s="2"/>
      <c r="E12" s="2"/>
      <c r="F12" s="2"/>
      <c r="G12" s="37" t="s">
        <v>76</v>
      </c>
      <c r="H12" s="44">
        <f>M6</f>
        <v>52500</v>
      </c>
      <c r="I12" s="2"/>
      <c r="J12" s="2"/>
      <c r="K12" s="2"/>
      <c r="L12" s="2"/>
      <c r="M12" s="2"/>
      <c r="N12" s="2"/>
      <c r="O12" s="2"/>
      <c r="P12" s="2"/>
      <c r="Q12" s="2"/>
      <c r="R12" s="2"/>
      <c r="S12" s="2"/>
      <c r="T12" s="2"/>
      <c r="U12" s="2"/>
      <c r="V12" s="2"/>
      <c r="W12" s="2"/>
      <c r="X12" s="2"/>
      <c r="Y12" s="2"/>
      <c r="Z12" s="2"/>
    </row>
    <row r="13" ht="16.5" customHeight="1">
      <c r="A13" s="2"/>
      <c r="B13" s="37" t="s">
        <v>77</v>
      </c>
      <c r="C13" s="43">
        <v>1000000.0</v>
      </c>
      <c r="D13" s="2"/>
      <c r="E13" s="2"/>
      <c r="F13" s="2"/>
      <c r="G13" s="54" t="s">
        <v>67</v>
      </c>
      <c r="H13" s="59">
        <f>SUM(H5:H7)</f>
        <v>7583095</v>
      </c>
      <c r="I13" s="2"/>
      <c r="J13" s="2"/>
      <c r="K13" s="2"/>
      <c r="L13" s="2"/>
      <c r="M13" s="2"/>
      <c r="N13" s="2"/>
      <c r="O13" s="2"/>
      <c r="P13" s="2"/>
      <c r="Q13" s="2"/>
      <c r="R13" s="2"/>
      <c r="S13" s="2"/>
      <c r="T13" s="2"/>
      <c r="U13" s="2"/>
      <c r="V13" s="2"/>
      <c r="W13" s="2"/>
      <c r="X13" s="2"/>
      <c r="Y13" s="2"/>
      <c r="Z13" s="2"/>
    </row>
    <row r="14" ht="16.5" customHeight="1">
      <c r="A14" s="2"/>
      <c r="B14" s="37" t="s">
        <v>30</v>
      </c>
      <c r="C14" s="43">
        <f t="shared" ref="C14:C15" si="4">L4</f>
        <v>97500</v>
      </c>
      <c r="D14" s="2"/>
      <c r="E14" s="2"/>
      <c r="F14" s="2"/>
      <c r="G14" s="19" t="s">
        <v>78</v>
      </c>
      <c r="H14" s="44"/>
      <c r="I14" s="2"/>
      <c r="J14" s="2"/>
      <c r="K14" s="2"/>
      <c r="L14" s="2"/>
      <c r="M14" s="2"/>
      <c r="N14" s="2"/>
      <c r="O14" s="2"/>
      <c r="P14" s="2"/>
      <c r="Q14" s="2"/>
      <c r="R14" s="2"/>
      <c r="S14" s="2"/>
      <c r="T14" s="2"/>
      <c r="U14" s="2"/>
      <c r="V14" s="2"/>
      <c r="W14" s="2"/>
      <c r="X14" s="2"/>
      <c r="Y14" s="2"/>
      <c r="Z14" s="2"/>
    </row>
    <row r="15" ht="16.5" customHeight="1">
      <c r="A15" s="2"/>
      <c r="B15" s="37" t="s">
        <v>53</v>
      </c>
      <c r="C15" s="43">
        <f t="shared" si="4"/>
        <v>260000</v>
      </c>
      <c r="D15" s="2"/>
      <c r="E15" s="2"/>
      <c r="F15" s="2"/>
      <c r="G15" s="37" t="s">
        <v>79</v>
      </c>
      <c r="H15" s="39">
        <f>'PRESUPUESTO DE PERSONAL'!L9</f>
        <v>2273095</v>
      </c>
      <c r="I15" s="2"/>
      <c r="J15" s="2"/>
      <c r="K15" s="2"/>
      <c r="L15" s="2"/>
      <c r="M15" s="2"/>
      <c r="N15" s="2"/>
      <c r="O15" s="2"/>
      <c r="P15" s="2"/>
      <c r="Q15" s="2"/>
      <c r="R15" s="2"/>
      <c r="S15" s="2"/>
      <c r="T15" s="2"/>
      <c r="U15" s="2"/>
      <c r="V15" s="2"/>
      <c r="W15" s="2"/>
      <c r="X15" s="2"/>
      <c r="Y15" s="2"/>
      <c r="Z15" s="2"/>
    </row>
    <row r="16" ht="16.5" customHeight="1">
      <c r="A16" s="2"/>
      <c r="B16" s="37" t="s">
        <v>62</v>
      </c>
      <c r="C16" s="43">
        <f>L7</f>
        <v>65000</v>
      </c>
      <c r="D16" s="2"/>
      <c r="E16" s="2"/>
      <c r="F16" s="60"/>
      <c r="G16" s="33" t="s">
        <v>80</v>
      </c>
      <c r="H16" s="44">
        <v>300000.0</v>
      </c>
      <c r="I16" s="2"/>
      <c r="J16" s="2"/>
      <c r="K16" s="2"/>
      <c r="L16" s="2"/>
      <c r="M16" s="2"/>
      <c r="N16" s="2"/>
      <c r="O16" s="2"/>
      <c r="P16" s="2"/>
      <c r="Q16" s="2"/>
      <c r="R16" s="2"/>
      <c r="S16" s="2"/>
      <c r="T16" s="2"/>
      <c r="U16" s="2"/>
      <c r="V16" s="2"/>
      <c r="W16" s="2"/>
      <c r="X16" s="2"/>
      <c r="Y16" s="2"/>
      <c r="Z16" s="2"/>
    </row>
    <row r="17" ht="16.5" customHeight="1">
      <c r="A17" s="2"/>
      <c r="B17" s="37" t="s">
        <v>59</v>
      </c>
      <c r="C17" s="43">
        <f>L6</f>
        <v>97500</v>
      </c>
      <c r="D17" s="2"/>
      <c r="E17" s="2"/>
      <c r="F17" s="2"/>
      <c r="G17" s="37" t="s">
        <v>81</v>
      </c>
      <c r="H17" s="31">
        <v>2000000.0</v>
      </c>
      <c r="I17" s="2"/>
      <c r="J17" s="2"/>
      <c r="K17" s="2"/>
      <c r="L17" s="2"/>
      <c r="M17" s="2"/>
      <c r="N17" s="2"/>
      <c r="O17" s="2"/>
      <c r="P17" s="2"/>
      <c r="Q17" s="2"/>
      <c r="R17" s="2"/>
      <c r="S17" s="2"/>
      <c r="T17" s="2"/>
      <c r="U17" s="2"/>
      <c r="V17" s="2"/>
      <c r="W17" s="2"/>
      <c r="X17" s="2"/>
      <c r="Y17" s="2"/>
      <c r="Z17" s="2"/>
    </row>
    <row r="18" ht="16.5" customHeight="1">
      <c r="A18" s="2"/>
      <c r="B18" s="54" t="s">
        <v>67</v>
      </c>
      <c r="C18" s="43">
        <f>SUM(C11:C17)</f>
        <v>4720000</v>
      </c>
      <c r="D18" s="60"/>
      <c r="E18" s="2"/>
      <c r="F18" s="2"/>
      <c r="G18" s="33" t="s">
        <v>82</v>
      </c>
      <c r="H18" s="31">
        <v>0.0</v>
      </c>
      <c r="I18" s="2"/>
      <c r="J18" s="2"/>
      <c r="K18" s="2"/>
      <c r="L18" s="2"/>
      <c r="M18" s="2"/>
      <c r="N18" s="2"/>
      <c r="O18" s="2"/>
      <c r="P18" s="2"/>
      <c r="Q18" s="2"/>
      <c r="R18" s="2"/>
      <c r="S18" s="2"/>
      <c r="T18" s="2"/>
      <c r="U18" s="2"/>
      <c r="V18" s="2"/>
      <c r="W18" s="2"/>
      <c r="X18" s="2"/>
      <c r="Y18" s="2"/>
      <c r="Z18" s="2"/>
    </row>
    <row r="19" ht="16.5" customHeight="1">
      <c r="A19" s="2"/>
      <c r="B19" s="54" t="s">
        <v>83</v>
      </c>
      <c r="C19" s="61">
        <f>C9+C18</f>
        <v>22499095</v>
      </c>
      <c r="D19" s="62">
        <f>C19*12</f>
        <v>269989140</v>
      </c>
      <c r="E19" s="2"/>
      <c r="F19" s="60"/>
      <c r="G19" s="33" t="s">
        <v>84</v>
      </c>
      <c r="H19" s="44">
        <f>E32*2%</f>
        <v>915333.1</v>
      </c>
      <c r="I19" s="2"/>
      <c r="J19" s="2"/>
      <c r="K19" s="2"/>
      <c r="L19" s="2"/>
      <c r="M19" s="2"/>
      <c r="N19" s="2"/>
      <c r="O19" s="2"/>
      <c r="P19" s="2"/>
      <c r="Q19" s="2"/>
      <c r="R19" s="2"/>
      <c r="S19" s="2"/>
      <c r="T19" s="2"/>
      <c r="U19" s="2"/>
      <c r="V19" s="2"/>
      <c r="W19" s="2"/>
      <c r="X19" s="2"/>
      <c r="Y19" s="2"/>
      <c r="Z19" s="2"/>
    </row>
    <row r="20" ht="16.5" customHeight="1">
      <c r="A20" s="2"/>
      <c r="B20" s="2"/>
      <c r="C20" s="2"/>
      <c r="D20" s="2"/>
      <c r="E20" s="2"/>
      <c r="F20" s="2"/>
      <c r="G20" s="54" t="s">
        <v>67</v>
      </c>
      <c r="H20" s="59">
        <f>SUM(H15:H19)</f>
        <v>5488428.1</v>
      </c>
      <c r="I20" s="2"/>
      <c r="J20" s="2"/>
      <c r="K20" s="2"/>
      <c r="L20" s="2"/>
      <c r="M20" s="2"/>
      <c r="N20" s="2"/>
      <c r="O20" s="2"/>
      <c r="P20" s="2"/>
      <c r="Q20" s="2"/>
      <c r="R20" s="2"/>
      <c r="S20" s="2"/>
      <c r="T20" s="2"/>
      <c r="U20" s="2"/>
      <c r="V20" s="2"/>
      <c r="W20" s="2"/>
      <c r="X20" s="2"/>
      <c r="Y20" s="2"/>
      <c r="Z20" s="2"/>
    </row>
    <row r="21" ht="16.5" customHeight="1">
      <c r="A21" s="2"/>
      <c r="B21" s="2"/>
      <c r="C21" s="2"/>
      <c r="D21" s="2"/>
      <c r="E21" s="2"/>
      <c r="F21" s="2"/>
      <c r="G21" s="19" t="s">
        <v>85</v>
      </c>
      <c r="H21" s="44"/>
      <c r="I21" s="2"/>
      <c r="J21" s="2"/>
      <c r="K21" s="2"/>
      <c r="L21" s="2"/>
      <c r="M21" s="2"/>
      <c r="N21" s="2"/>
      <c r="O21" s="2"/>
      <c r="P21" s="2"/>
      <c r="Q21" s="2"/>
      <c r="R21" s="2"/>
      <c r="S21" s="2"/>
      <c r="T21" s="2"/>
      <c r="U21" s="2"/>
      <c r="V21" s="2"/>
      <c r="W21" s="2"/>
      <c r="X21" s="2"/>
      <c r="Y21" s="2"/>
      <c r="Z21" s="2"/>
    </row>
    <row r="22" ht="16.5" customHeight="1">
      <c r="A22" s="2"/>
      <c r="B22" s="2"/>
      <c r="C22" s="2"/>
      <c r="D22" s="2"/>
      <c r="E22" s="2"/>
      <c r="F22" s="2"/>
      <c r="G22" s="63" t="s">
        <v>86</v>
      </c>
      <c r="H22" s="44">
        <f>E40</f>
        <v>160000</v>
      </c>
      <c r="I22" s="2"/>
      <c r="J22" s="2"/>
      <c r="K22" s="2"/>
      <c r="L22" s="2"/>
      <c r="M22" s="2"/>
      <c r="N22" s="2"/>
      <c r="O22" s="2"/>
      <c r="P22" s="2"/>
      <c r="Q22" s="2"/>
      <c r="R22" s="2"/>
      <c r="S22" s="2"/>
      <c r="T22" s="2"/>
      <c r="U22" s="2"/>
      <c r="V22" s="2"/>
      <c r="W22" s="2"/>
      <c r="X22" s="2"/>
      <c r="Y22" s="2"/>
      <c r="Z22" s="2"/>
    </row>
    <row r="23" ht="16.5" customHeight="1">
      <c r="A23" s="2"/>
      <c r="B23" s="2"/>
      <c r="C23" s="2"/>
      <c r="D23" s="2"/>
      <c r="E23" s="2"/>
      <c r="F23" s="2"/>
      <c r="G23" s="63" t="s">
        <v>87</v>
      </c>
      <c r="H23" s="44">
        <f>(E32-18330900)*0.4%</f>
        <v>109743.02</v>
      </c>
      <c r="I23" s="2"/>
      <c r="J23" s="2"/>
      <c r="K23" s="2"/>
      <c r="L23" s="2"/>
      <c r="M23" s="2"/>
      <c r="N23" s="2"/>
      <c r="O23" s="2"/>
      <c r="P23" s="2"/>
      <c r="Q23" s="2"/>
      <c r="R23" s="2"/>
      <c r="S23" s="2"/>
      <c r="T23" s="2"/>
      <c r="U23" s="2"/>
      <c r="V23" s="2"/>
      <c r="W23" s="2"/>
      <c r="X23" s="2"/>
      <c r="Y23" s="2"/>
      <c r="Z23" s="2"/>
    </row>
    <row r="24" ht="16.5" customHeight="1">
      <c r="A24" s="2"/>
      <c r="B24" s="2"/>
      <c r="C24" s="60"/>
      <c r="D24" s="2"/>
      <c r="E24" s="2"/>
      <c r="F24" s="2"/>
      <c r="G24" s="63" t="s">
        <v>88</v>
      </c>
      <c r="H24" s="44">
        <v>10000.0</v>
      </c>
      <c r="I24" s="2"/>
      <c r="J24" s="2"/>
      <c r="K24" s="2"/>
      <c r="L24" s="2"/>
      <c r="M24" s="2"/>
      <c r="N24" s="2"/>
      <c r="O24" s="2"/>
      <c r="P24" s="2"/>
      <c r="Q24" s="2"/>
      <c r="R24" s="2"/>
      <c r="S24" s="2"/>
      <c r="T24" s="2"/>
      <c r="U24" s="2"/>
      <c r="V24" s="2"/>
      <c r="W24" s="2"/>
      <c r="X24" s="2"/>
      <c r="Y24" s="2"/>
      <c r="Z24" s="2"/>
    </row>
    <row r="25" ht="16.5" customHeight="1">
      <c r="A25" s="2"/>
      <c r="B25" s="2"/>
      <c r="C25" s="2"/>
      <c r="D25" s="2"/>
      <c r="E25" s="2"/>
      <c r="F25" s="2"/>
      <c r="G25" s="22" t="s">
        <v>89</v>
      </c>
      <c r="H25" s="31">
        <v>0.0</v>
      </c>
      <c r="I25" s="2"/>
      <c r="J25" s="2"/>
      <c r="K25" s="2"/>
      <c r="L25" s="2"/>
      <c r="M25" s="2"/>
      <c r="N25" s="2"/>
      <c r="O25" s="2"/>
      <c r="P25" s="2"/>
      <c r="Q25" s="2"/>
      <c r="R25" s="2"/>
      <c r="S25" s="2"/>
      <c r="T25" s="2"/>
      <c r="U25" s="2"/>
      <c r="V25" s="2"/>
      <c r="W25" s="2"/>
      <c r="X25" s="2"/>
      <c r="Y25" s="2"/>
      <c r="Z25" s="2"/>
    </row>
    <row r="26" ht="16.5" customHeight="1">
      <c r="A26" s="2"/>
      <c r="B26" s="64" t="s">
        <v>90</v>
      </c>
      <c r="C26" s="5"/>
      <c r="D26" s="5"/>
      <c r="E26" s="6"/>
      <c r="F26" s="65"/>
      <c r="G26" s="27" t="s">
        <v>67</v>
      </c>
      <c r="H26" s="59">
        <f>SUM(H22:H25)</f>
        <v>279743.02</v>
      </c>
      <c r="I26" s="2"/>
      <c r="J26" s="2"/>
      <c r="K26" s="2"/>
      <c r="L26" s="2"/>
      <c r="M26" s="2"/>
      <c r="N26" s="2"/>
      <c r="O26" s="2"/>
      <c r="P26" s="2"/>
      <c r="Q26" s="2"/>
      <c r="R26" s="2"/>
      <c r="S26" s="2"/>
      <c r="T26" s="2"/>
      <c r="U26" s="2"/>
      <c r="V26" s="2"/>
      <c r="W26" s="2"/>
      <c r="X26" s="2"/>
      <c r="Y26" s="2"/>
      <c r="Z26" s="2"/>
    </row>
    <row r="27" ht="30.0" customHeight="1">
      <c r="A27" s="2"/>
      <c r="B27" s="19" t="s">
        <v>91</v>
      </c>
      <c r="C27" s="66" t="s">
        <v>92</v>
      </c>
      <c r="D27" s="19" t="s">
        <v>93</v>
      </c>
      <c r="E27" s="19" t="s">
        <v>94</v>
      </c>
      <c r="F27" s="67"/>
      <c r="G27" s="27" t="s">
        <v>95</v>
      </c>
      <c r="H27" s="59">
        <f>H13+H20+H26</f>
        <v>13351266.12</v>
      </c>
      <c r="I27" s="2"/>
      <c r="J27" s="2"/>
      <c r="K27" s="2"/>
      <c r="L27" s="2"/>
      <c r="M27" s="2"/>
      <c r="N27" s="2"/>
      <c r="O27" s="2"/>
      <c r="P27" s="2"/>
      <c r="Q27" s="2"/>
      <c r="R27" s="2"/>
      <c r="S27" s="2"/>
      <c r="T27" s="2"/>
      <c r="U27" s="2"/>
      <c r="V27" s="2"/>
      <c r="W27" s="2"/>
      <c r="X27" s="2"/>
      <c r="Y27" s="2"/>
      <c r="Z27" s="2"/>
    </row>
    <row r="28" ht="16.5" customHeight="1">
      <c r="A28" s="2"/>
      <c r="B28" s="63" t="s">
        <v>96</v>
      </c>
      <c r="C28" s="16">
        <v>150000.0</v>
      </c>
      <c r="D28" s="22">
        <v>35.0</v>
      </c>
      <c r="E28" s="28">
        <f t="shared" ref="E28:E31" si="5">C28*D28</f>
        <v>5250000</v>
      </c>
      <c r="F28" s="62"/>
      <c r="G28" s="4"/>
      <c r="H28" s="4"/>
      <c r="I28" s="2"/>
      <c r="J28" s="2"/>
      <c r="K28" s="2"/>
      <c r="L28" s="2"/>
      <c r="M28" s="2"/>
      <c r="N28" s="2"/>
      <c r="O28" s="2"/>
      <c r="P28" s="2"/>
      <c r="Q28" s="2"/>
      <c r="R28" s="2"/>
      <c r="S28" s="2"/>
      <c r="T28" s="2"/>
      <c r="U28" s="2"/>
      <c r="V28" s="2"/>
      <c r="W28" s="2"/>
      <c r="X28" s="2"/>
      <c r="Y28" s="2"/>
      <c r="Z28" s="2"/>
    </row>
    <row r="29" ht="16.5" customHeight="1">
      <c r="A29" s="2"/>
      <c r="B29" s="63" t="s">
        <v>97</v>
      </c>
      <c r="C29" s="16">
        <v>260000.0</v>
      </c>
      <c r="D29" s="22">
        <v>60.0</v>
      </c>
      <c r="E29" s="28">
        <f t="shared" si="5"/>
        <v>15600000</v>
      </c>
      <c r="F29" s="68"/>
      <c r="G29" s="69" t="s">
        <v>98</v>
      </c>
      <c r="H29" s="28">
        <f>H27*12</f>
        <v>160215193.4</v>
      </c>
      <c r="I29" s="23"/>
      <c r="J29" s="2"/>
      <c r="K29" s="2"/>
      <c r="L29" s="2"/>
      <c r="M29" s="2"/>
      <c r="N29" s="2"/>
      <c r="O29" s="2"/>
      <c r="P29" s="2"/>
      <c r="Q29" s="2"/>
      <c r="R29" s="2"/>
      <c r="S29" s="2"/>
      <c r="T29" s="2"/>
      <c r="U29" s="2"/>
      <c r="V29" s="2"/>
      <c r="W29" s="2"/>
      <c r="X29" s="2"/>
      <c r="Y29" s="2"/>
      <c r="Z29" s="2"/>
    </row>
    <row r="30" ht="16.5" customHeight="1">
      <c r="A30" s="2"/>
      <c r="B30" s="63" t="s">
        <v>99</v>
      </c>
      <c r="C30" s="16">
        <v>500000.0</v>
      </c>
      <c r="D30" s="22">
        <v>30.0</v>
      </c>
      <c r="E30" s="28">
        <f t="shared" si="5"/>
        <v>15000000</v>
      </c>
      <c r="F30" s="62"/>
      <c r="G30" s="70"/>
      <c r="H30" s="58"/>
      <c r="I30" s="2"/>
      <c r="J30" s="2"/>
      <c r="K30" s="2"/>
      <c r="L30" s="2"/>
      <c r="M30" s="2"/>
      <c r="N30" s="2"/>
      <c r="O30" s="2"/>
      <c r="P30" s="2"/>
      <c r="Q30" s="2"/>
      <c r="R30" s="2"/>
      <c r="S30" s="2"/>
      <c r="T30" s="2"/>
      <c r="U30" s="2"/>
      <c r="V30" s="2"/>
      <c r="W30" s="2"/>
      <c r="X30" s="2"/>
      <c r="Y30" s="2"/>
      <c r="Z30" s="2"/>
    </row>
    <row r="31" ht="16.5" customHeight="1">
      <c r="A31" s="2"/>
      <c r="B31" s="22" t="s">
        <v>100</v>
      </c>
      <c r="C31" s="31">
        <v>283333.0</v>
      </c>
      <c r="D31" s="22">
        <v>35.0</v>
      </c>
      <c r="E31" s="44">
        <f t="shared" si="5"/>
        <v>9916655</v>
      </c>
      <c r="F31" s="26"/>
      <c r="G31" s="69" t="s">
        <v>101</v>
      </c>
      <c r="H31" s="23"/>
      <c r="I31" s="2"/>
      <c r="J31" s="2"/>
      <c r="K31" s="2"/>
      <c r="L31" s="2"/>
      <c r="M31" s="2"/>
      <c r="N31" s="2"/>
      <c r="O31" s="2"/>
      <c r="P31" s="2"/>
      <c r="Q31" s="2"/>
      <c r="R31" s="2"/>
      <c r="S31" s="2"/>
      <c r="T31" s="2"/>
      <c r="U31" s="2"/>
      <c r="V31" s="2"/>
      <c r="W31" s="2"/>
      <c r="X31" s="2"/>
      <c r="Y31" s="2"/>
      <c r="Z31" s="2"/>
    </row>
    <row r="32" ht="16.5" customHeight="1">
      <c r="A32" s="2"/>
      <c r="B32" s="27" t="s">
        <v>102</v>
      </c>
      <c r="C32" s="63"/>
      <c r="D32" s="63"/>
      <c r="E32" s="71">
        <f>SUM(E28:E31)</f>
        <v>45766655</v>
      </c>
      <c r="F32" s="72"/>
      <c r="G32" s="28">
        <f>E32*12</f>
        <v>549199860</v>
      </c>
      <c r="H32" s="23"/>
      <c r="I32" s="2"/>
      <c r="J32" s="2"/>
      <c r="K32" s="2"/>
      <c r="L32" s="2"/>
      <c r="M32" s="2"/>
      <c r="N32" s="2"/>
      <c r="O32" s="2"/>
      <c r="P32" s="2"/>
      <c r="Q32" s="2"/>
      <c r="R32" s="2"/>
      <c r="S32" s="2"/>
      <c r="T32" s="2"/>
      <c r="U32" s="2"/>
      <c r="V32" s="2"/>
      <c r="W32" s="2"/>
      <c r="X32" s="2"/>
      <c r="Y32" s="2"/>
      <c r="Z32" s="2"/>
    </row>
    <row r="33" ht="16.5" customHeight="1">
      <c r="A33" s="2"/>
      <c r="B33" s="2"/>
      <c r="C33" s="60" t="s">
        <v>103</v>
      </c>
      <c r="D33" s="2"/>
      <c r="E33" s="2"/>
      <c r="F33" s="2"/>
      <c r="G33" s="58"/>
      <c r="H33" s="2"/>
      <c r="I33" s="2"/>
      <c r="J33" s="2"/>
      <c r="K33" s="2"/>
      <c r="L33" s="2"/>
      <c r="M33" s="2"/>
      <c r="N33" s="2"/>
      <c r="O33" s="2"/>
      <c r="P33" s="2"/>
      <c r="Q33" s="2"/>
      <c r="R33" s="2"/>
      <c r="S33" s="2"/>
      <c r="T33" s="2"/>
      <c r="U33" s="2"/>
      <c r="V33" s="2"/>
      <c r="W33" s="2"/>
      <c r="X33" s="2"/>
      <c r="Y33" s="2"/>
      <c r="Z33" s="2"/>
    </row>
    <row r="34" ht="16.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c r="A36" s="2"/>
      <c r="B36" s="73" t="s">
        <v>104</v>
      </c>
      <c r="C36" s="2"/>
      <c r="D36" s="2"/>
      <c r="E36" s="2"/>
      <c r="F36" s="2"/>
      <c r="G36" s="74">
        <f>J39*12</f>
        <v>4410866.179</v>
      </c>
      <c r="H36" s="2"/>
      <c r="I36" s="75" t="s">
        <v>105</v>
      </c>
      <c r="J36" s="6"/>
      <c r="K36" s="76">
        <v>1.0E7</v>
      </c>
      <c r="L36" s="2"/>
      <c r="M36" s="2"/>
      <c r="N36" s="2"/>
      <c r="O36" s="2"/>
      <c r="P36" s="2"/>
      <c r="Q36" s="2"/>
      <c r="R36" s="2"/>
      <c r="S36" s="2"/>
      <c r="T36" s="2"/>
      <c r="U36" s="2"/>
      <c r="V36" s="2"/>
      <c r="W36" s="2"/>
      <c r="X36" s="2"/>
      <c r="Y36" s="2"/>
      <c r="Z36" s="2"/>
    </row>
    <row r="37" ht="16.5" customHeight="1">
      <c r="A37" s="2"/>
      <c r="B37" s="77"/>
      <c r="C37" s="2"/>
      <c r="D37" s="2"/>
      <c r="E37" s="2"/>
      <c r="F37" s="2"/>
      <c r="G37" s="2"/>
      <c r="H37" s="2"/>
      <c r="I37" s="75" t="s">
        <v>106</v>
      </c>
      <c r="J37" s="6"/>
      <c r="K37" s="78">
        <v>0.016</v>
      </c>
      <c r="L37" s="2"/>
      <c r="M37" s="2"/>
      <c r="N37" s="2"/>
      <c r="O37" s="2"/>
      <c r="P37" s="2"/>
      <c r="Q37" s="2"/>
      <c r="R37" s="2"/>
      <c r="S37" s="2"/>
      <c r="T37" s="2"/>
      <c r="U37" s="2"/>
      <c r="V37" s="2"/>
      <c r="W37" s="2"/>
      <c r="X37" s="2"/>
      <c r="Y37" s="2"/>
      <c r="Z37" s="2"/>
    </row>
    <row r="38" ht="16.5" customHeight="1">
      <c r="A38" s="2"/>
      <c r="B38" s="19" t="s">
        <v>107</v>
      </c>
      <c r="C38" s="19" t="s">
        <v>108</v>
      </c>
      <c r="D38" s="19" t="s">
        <v>109</v>
      </c>
      <c r="E38" s="19" t="s">
        <v>110</v>
      </c>
      <c r="F38" s="19" t="s">
        <v>111</v>
      </c>
      <c r="G38" s="2"/>
      <c r="H38" s="2"/>
      <c r="I38" s="75" t="s">
        <v>112</v>
      </c>
      <c r="J38" s="6"/>
      <c r="K38" s="79">
        <v>36.0</v>
      </c>
      <c r="L38" s="2"/>
      <c r="M38" s="2"/>
      <c r="N38" s="2"/>
      <c r="O38" s="2"/>
      <c r="P38" s="2"/>
      <c r="Q38" s="2"/>
      <c r="R38" s="2"/>
      <c r="S38" s="2"/>
      <c r="T38" s="2"/>
      <c r="U38" s="2"/>
      <c r="V38" s="2"/>
      <c r="W38" s="2"/>
      <c r="X38" s="2"/>
      <c r="Y38" s="2"/>
      <c r="Z38" s="2"/>
    </row>
    <row r="39" ht="16.5" customHeight="1">
      <c r="A39" s="2"/>
      <c r="B39" s="80">
        <v>0.0</v>
      </c>
      <c r="C39" s="81">
        <v>0.0</v>
      </c>
      <c r="D39" s="81">
        <v>0.0</v>
      </c>
      <c r="E39" s="81">
        <v>0.0</v>
      </c>
      <c r="F39" s="81">
        <f>K36</f>
        <v>10000000</v>
      </c>
      <c r="G39" s="2"/>
      <c r="H39" s="2"/>
      <c r="I39" s="82" t="s">
        <v>108</v>
      </c>
      <c r="J39" s="83">
        <f>PMT(K37,K38,-K36)</f>
        <v>367572.1816</v>
      </c>
      <c r="K39" s="63"/>
      <c r="L39" s="2"/>
      <c r="M39" s="2"/>
      <c r="N39" s="2"/>
      <c r="O39" s="2"/>
      <c r="P39" s="2"/>
      <c r="Q39" s="2"/>
      <c r="R39" s="2"/>
      <c r="S39" s="2"/>
      <c r="T39" s="2"/>
      <c r="U39" s="2"/>
      <c r="V39" s="2"/>
      <c r="W39" s="2"/>
      <c r="X39" s="2"/>
      <c r="Y39" s="2"/>
      <c r="Z39" s="2"/>
    </row>
    <row r="40" ht="16.5" customHeight="1">
      <c r="A40" s="2"/>
      <c r="B40" s="80">
        <v>1.0</v>
      </c>
      <c r="C40" s="84">
        <f t="shared" ref="C40:C75" si="6">$J$39</f>
        <v>367572.1816</v>
      </c>
      <c r="D40" s="84">
        <f t="shared" ref="D40:D75" si="7">C40-E40</f>
        <v>207572.1816</v>
      </c>
      <c r="E40" s="85">
        <f t="shared" ref="E40:E75" si="8">F39*$K$37</f>
        <v>160000</v>
      </c>
      <c r="F40" s="81">
        <f t="shared" ref="F40:F75" si="9">F39-D40</f>
        <v>9792427.818</v>
      </c>
      <c r="G40" s="2"/>
      <c r="H40" s="2"/>
      <c r="I40" s="77"/>
      <c r="J40" s="86"/>
      <c r="K40" s="63"/>
      <c r="L40" s="2"/>
      <c r="M40" s="2"/>
      <c r="N40" s="2"/>
      <c r="O40" s="2"/>
      <c r="P40" s="2"/>
      <c r="Q40" s="2"/>
      <c r="R40" s="2"/>
      <c r="S40" s="2"/>
      <c r="T40" s="2"/>
      <c r="U40" s="2"/>
      <c r="V40" s="2"/>
      <c r="W40" s="2"/>
      <c r="X40" s="2"/>
      <c r="Y40" s="2"/>
      <c r="Z40" s="2"/>
    </row>
    <row r="41" ht="16.5" customHeight="1">
      <c r="A41" s="2"/>
      <c r="B41" s="80">
        <v>2.0</v>
      </c>
      <c r="C41" s="84">
        <f t="shared" si="6"/>
        <v>367572.1816</v>
      </c>
      <c r="D41" s="81">
        <f t="shared" si="7"/>
        <v>210893.3365</v>
      </c>
      <c r="E41" s="81">
        <f t="shared" si="8"/>
        <v>156678.8451</v>
      </c>
      <c r="F41" s="81">
        <f t="shared" si="9"/>
        <v>9581534.482</v>
      </c>
      <c r="G41" s="2"/>
      <c r="H41" s="2"/>
      <c r="I41" s="2"/>
      <c r="J41" s="2"/>
      <c r="K41" s="63" t="s">
        <v>52</v>
      </c>
      <c r="L41" s="2"/>
      <c r="M41" s="2"/>
      <c r="N41" s="2"/>
      <c r="O41" s="2"/>
      <c r="P41" s="2"/>
      <c r="Q41" s="2"/>
      <c r="R41" s="2"/>
      <c r="S41" s="2"/>
      <c r="T41" s="2"/>
      <c r="U41" s="2"/>
      <c r="V41" s="2"/>
      <c r="W41" s="2"/>
      <c r="X41" s="2"/>
      <c r="Y41" s="2"/>
      <c r="Z41" s="2"/>
    </row>
    <row r="42" ht="16.5" customHeight="1">
      <c r="A42" s="2"/>
      <c r="B42" s="80">
        <v>3.0</v>
      </c>
      <c r="C42" s="84">
        <f t="shared" si="6"/>
        <v>367572.1816</v>
      </c>
      <c r="D42" s="81">
        <f t="shared" si="7"/>
        <v>214267.6299</v>
      </c>
      <c r="E42" s="81">
        <f t="shared" si="8"/>
        <v>153304.5517</v>
      </c>
      <c r="F42" s="81">
        <f t="shared" si="9"/>
        <v>9367266.852</v>
      </c>
      <c r="G42" s="2"/>
      <c r="H42" s="2"/>
      <c r="I42" s="2"/>
      <c r="J42" s="2"/>
      <c r="K42" s="87">
        <f>J39*12</f>
        <v>4410866.179</v>
      </c>
      <c r="L42" s="2"/>
      <c r="M42" s="2"/>
      <c r="N42" s="2"/>
      <c r="O42" s="2"/>
      <c r="P42" s="2"/>
      <c r="Q42" s="2"/>
      <c r="R42" s="2"/>
      <c r="S42" s="2"/>
      <c r="T42" s="2"/>
      <c r="U42" s="2"/>
      <c r="V42" s="2"/>
      <c r="W42" s="2"/>
      <c r="X42" s="2"/>
      <c r="Y42" s="2"/>
      <c r="Z42" s="2"/>
    </row>
    <row r="43" ht="16.5" customHeight="1">
      <c r="A43" s="2"/>
      <c r="B43" s="80">
        <v>4.0</v>
      </c>
      <c r="C43" s="84">
        <f t="shared" si="6"/>
        <v>367572.1816</v>
      </c>
      <c r="D43" s="81">
        <f t="shared" si="7"/>
        <v>217695.9119</v>
      </c>
      <c r="E43" s="81">
        <f t="shared" si="8"/>
        <v>149876.2696</v>
      </c>
      <c r="F43" s="81">
        <f t="shared" si="9"/>
        <v>9149570.94</v>
      </c>
      <c r="G43" s="2"/>
      <c r="H43" s="2"/>
      <c r="I43" s="2"/>
      <c r="J43" s="2"/>
      <c r="K43" s="2"/>
      <c r="L43" s="2"/>
      <c r="M43" s="2"/>
      <c r="N43" s="2"/>
      <c r="O43" s="2"/>
      <c r="P43" s="2"/>
      <c r="Q43" s="2"/>
      <c r="R43" s="2"/>
      <c r="S43" s="2"/>
      <c r="T43" s="2"/>
      <c r="U43" s="2"/>
      <c r="V43" s="2"/>
      <c r="W43" s="2"/>
      <c r="X43" s="2"/>
      <c r="Y43" s="2"/>
      <c r="Z43" s="2"/>
    </row>
    <row r="44" ht="16.5" customHeight="1">
      <c r="A44" s="2"/>
      <c r="B44" s="80">
        <v>5.0</v>
      </c>
      <c r="C44" s="84">
        <f t="shared" si="6"/>
        <v>367572.1816</v>
      </c>
      <c r="D44" s="81">
        <f t="shared" si="7"/>
        <v>221179.0465</v>
      </c>
      <c r="E44" s="81">
        <f t="shared" si="8"/>
        <v>146393.135</v>
      </c>
      <c r="F44" s="81">
        <f t="shared" si="9"/>
        <v>8928391.894</v>
      </c>
      <c r="G44" s="2"/>
      <c r="H44" s="2"/>
      <c r="I44" s="2"/>
      <c r="J44" s="2"/>
      <c r="K44" s="2"/>
      <c r="L44" s="2"/>
      <c r="M44" s="2"/>
      <c r="N44" s="2"/>
      <c r="O44" s="2"/>
      <c r="P44" s="2"/>
      <c r="Q44" s="2"/>
      <c r="R44" s="2"/>
      <c r="S44" s="2"/>
      <c r="T44" s="2"/>
      <c r="U44" s="2"/>
      <c r="V44" s="2"/>
      <c r="W44" s="2"/>
      <c r="X44" s="2"/>
      <c r="Y44" s="2"/>
      <c r="Z44" s="2"/>
    </row>
    <row r="45" ht="16.5" customHeight="1">
      <c r="A45" s="2"/>
      <c r="B45" s="80">
        <v>6.0</v>
      </c>
      <c r="C45" s="84">
        <f t="shared" si="6"/>
        <v>367572.1816</v>
      </c>
      <c r="D45" s="81">
        <f t="shared" si="7"/>
        <v>224717.9113</v>
      </c>
      <c r="E45" s="81">
        <f t="shared" si="8"/>
        <v>142854.2703</v>
      </c>
      <c r="F45" s="81">
        <f t="shared" si="9"/>
        <v>8703673.982</v>
      </c>
      <c r="G45" s="2"/>
      <c r="H45" s="2"/>
      <c r="I45" s="2"/>
      <c r="J45" s="2"/>
      <c r="K45" s="2"/>
      <c r="L45" s="2"/>
      <c r="M45" s="2"/>
      <c r="N45" s="2"/>
      <c r="O45" s="2"/>
      <c r="P45" s="2"/>
      <c r="Q45" s="2"/>
      <c r="R45" s="2"/>
      <c r="S45" s="2"/>
      <c r="T45" s="2"/>
      <c r="U45" s="2"/>
      <c r="V45" s="2"/>
      <c r="W45" s="2"/>
      <c r="X45" s="2"/>
      <c r="Y45" s="2"/>
      <c r="Z45" s="2"/>
    </row>
    <row r="46" ht="16.5" customHeight="1">
      <c r="A46" s="2"/>
      <c r="B46" s="80">
        <v>7.0</v>
      </c>
      <c r="C46" s="84">
        <f t="shared" si="6"/>
        <v>367572.1816</v>
      </c>
      <c r="D46" s="81">
        <f t="shared" si="7"/>
        <v>228313.3979</v>
      </c>
      <c r="E46" s="81">
        <f t="shared" si="8"/>
        <v>139258.7837</v>
      </c>
      <c r="F46" s="81">
        <f t="shared" si="9"/>
        <v>8475360.584</v>
      </c>
      <c r="G46" s="2"/>
      <c r="H46" s="2"/>
      <c r="I46" s="2"/>
      <c r="J46" s="2"/>
      <c r="K46" s="2"/>
      <c r="L46" s="2"/>
      <c r="M46" s="2"/>
      <c r="N46" s="2"/>
      <c r="O46" s="2"/>
      <c r="P46" s="2"/>
      <c r="Q46" s="2"/>
      <c r="R46" s="2"/>
      <c r="S46" s="2"/>
      <c r="T46" s="2"/>
      <c r="U46" s="2"/>
      <c r="V46" s="2"/>
      <c r="W46" s="2"/>
      <c r="X46" s="2"/>
      <c r="Y46" s="2"/>
      <c r="Z46" s="2"/>
    </row>
    <row r="47" ht="16.5" customHeight="1">
      <c r="A47" s="2"/>
      <c r="B47" s="80">
        <v>8.0</v>
      </c>
      <c r="C47" s="84">
        <f t="shared" si="6"/>
        <v>367572.1816</v>
      </c>
      <c r="D47" s="81">
        <f t="shared" si="7"/>
        <v>231966.4122</v>
      </c>
      <c r="E47" s="81">
        <f t="shared" si="8"/>
        <v>135605.7694</v>
      </c>
      <c r="F47" s="81">
        <f t="shared" si="9"/>
        <v>8243394.172</v>
      </c>
      <c r="G47" s="2"/>
      <c r="H47" s="2"/>
      <c r="I47" s="2"/>
      <c r="J47" s="2"/>
      <c r="K47" s="2"/>
      <c r="L47" s="2"/>
      <c r="M47" s="2"/>
      <c r="N47" s="2"/>
      <c r="O47" s="2"/>
      <c r="P47" s="2"/>
      <c r="Q47" s="2"/>
      <c r="R47" s="2"/>
      <c r="S47" s="2"/>
      <c r="T47" s="2"/>
      <c r="U47" s="2"/>
      <c r="V47" s="2"/>
      <c r="W47" s="2"/>
      <c r="X47" s="2"/>
      <c r="Y47" s="2"/>
      <c r="Z47" s="2"/>
    </row>
    <row r="48" ht="16.5" customHeight="1">
      <c r="A48" s="2"/>
      <c r="B48" s="80">
        <v>9.0</v>
      </c>
      <c r="C48" s="84">
        <f t="shared" si="6"/>
        <v>367572.1816</v>
      </c>
      <c r="D48" s="81">
        <f t="shared" si="7"/>
        <v>235677.8748</v>
      </c>
      <c r="E48" s="81">
        <f t="shared" si="8"/>
        <v>131894.3068</v>
      </c>
      <c r="F48" s="81">
        <f t="shared" si="9"/>
        <v>8007716.297</v>
      </c>
      <c r="G48" s="2"/>
      <c r="H48" s="2"/>
      <c r="I48" s="2"/>
      <c r="J48" s="2"/>
      <c r="K48" s="2"/>
      <c r="L48" s="2"/>
      <c r="M48" s="2"/>
      <c r="N48" s="2"/>
      <c r="O48" s="2"/>
      <c r="P48" s="2"/>
      <c r="Q48" s="2"/>
      <c r="R48" s="2"/>
      <c r="S48" s="2"/>
      <c r="T48" s="2"/>
      <c r="U48" s="2"/>
      <c r="V48" s="2"/>
      <c r="W48" s="2"/>
      <c r="X48" s="2"/>
      <c r="Y48" s="2"/>
      <c r="Z48" s="2"/>
    </row>
    <row r="49" ht="16.5" customHeight="1">
      <c r="A49" s="2"/>
      <c r="B49" s="80">
        <v>10.0</v>
      </c>
      <c r="C49" s="84">
        <f t="shared" si="6"/>
        <v>367572.1816</v>
      </c>
      <c r="D49" s="81">
        <f t="shared" si="7"/>
        <v>239448.7208</v>
      </c>
      <c r="E49" s="81">
        <f t="shared" si="8"/>
        <v>128123.4608</v>
      </c>
      <c r="F49" s="81">
        <f t="shared" si="9"/>
        <v>7768267.577</v>
      </c>
      <c r="G49" s="2"/>
      <c r="H49" s="2"/>
      <c r="I49" s="2"/>
      <c r="J49" s="2"/>
      <c r="K49" s="2"/>
      <c r="L49" s="2"/>
      <c r="M49" s="2"/>
      <c r="N49" s="2"/>
      <c r="O49" s="2"/>
      <c r="P49" s="2"/>
      <c r="Q49" s="2"/>
      <c r="R49" s="2"/>
      <c r="S49" s="2"/>
      <c r="T49" s="2"/>
      <c r="U49" s="2"/>
      <c r="V49" s="2"/>
      <c r="W49" s="2"/>
      <c r="X49" s="2"/>
      <c r="Y49" s="2"/>
      <c r="Z49" s="2"/>
    </row>
    <row r="50" ht="16.5" customHeight="1">
      <c r="A50" s="2"/>
      <c r="B50" s="80">
        <v>11.0</v>
      </c>
      <c r="C50" s="84">
        <f t="shared" si="6"/>
        <v>367572.1816</v>
      </c>
      <c r="D50" s="81">
        <f t="shared" si="7"/>
        <v>243279.9003</v>
      </c>
      <c r="E50" s="81">
        <f t="shared" si="8"/>
        <v>124292.2812</v>
      </c>
      <c r="F50" s="81">
        <f t="shared" si="9"/>
        <v>7524987.676</v>
      </c>
      <c r="G50" s="2"/>
      <c r="H50" s="2"/>
      <c r="I50" s="2"/>
      <c r="J50" s="2"/>
      <c r="K50" s="2"/>
      <c r="L50" s="2"/>
      <c r="M50" s="2"/>
      <c r="N50" s="2"/>
      <c r="O50" s="2"/>
      <c r="P50" s="2"/>
      <c r="Q50" s="2"/>
      <c r="R50" s="2"/>
      <c r="S50" s="2"/>
      <c r="T50" s="2"/>
      <c r="U50" s="2"/>
      <c r="V50" s="2"/>
      <c r="W50" s="2"/>
      <c r="X50" s="2"/>
      <c r="Y50" s="2"/>
      <c r="Z50" s="2"/>
    </row>
    <row r="51" ht="16.5" customHeight="1">
      <c r="A51" s="2"/>
      <c r="B51" s="80">
        <v>12.0</v>
      </c>
      <c r="C51" s="84">
        <f t="shared" si="6"/>
        <v>367572.1816</v>
      </c>
      <c r="D51" s="81">
        <f t="shared" si="7"/>
        <v>247172.3788</v>
      </c>
      <c r="E51" s="81">
        <f t="shared" si="8"/>
        <v>120399.8028</v>
      </c>
      <c r="F51" s="81">
        <f t="shared" si="9"/>
        <v>7277815.298</v>
      </c>
      <c r="G51" s="2"/>
      <c r="H51" s="2"/>
      <c r="I51" s="2"/>
      <c r="J51" s="2"/>
      <c r="K51" s="2"/>
      <c r="L51" s="2"/>
      <c r="M51" s="2"/>
      <c r="N51" s="2"/>
      <c r="O51" s="2"/>
      <c r="P51" s="2"/>
      <c r="Q51" s="2"/>
      <c r="R51" s="2"/>
      <c r="S51" s="2"/>
      <c r="T51" s="2"/>
      <c r="U51" s="2"/>
      <c r="V51" s="2"/>
      <c r="W51" s="2"/>
      <c r="X51" s="2"/>
      <c r="Y51" s="2"/>
      <c r="Z51" s="2"/>
    </row>
    <row r="52" ht="16.5" customHeight="1">
      <c r="A52" s="2"/>
      <c r="B52" s="80">
        <v>13.0</v>
      </c>
      <c r="C52" s="84">
        <f t="shared" si="6"/>
        <v>367572.1816</v>
      </c>
      <c r="D52" s="81">
        <f t="shared" si="7"/>
        <v>251127.1368</v>
      </c>
      <c r="E52" s="81">
        <f t="shared" si="8"/>
        <v>116445.0448</v>
      </c>
      <c r="F52" s="81">
        <f t="shared" si="9"/>
        <v>7026688.161</v>
      </c>
      <c r="G52" s="2"/>
      <c r="H52" s="2"/>
      <c r="I52" s="2"/>
      <c r="J52" s="2"/>
      <c r="K52" s="2"/>
      <c r="L52" s="2"/>
      <c r="M52" s="2"/>
      <c r="N52" s="2"/>
      <c r="O52" s="2"/>
      <c r="P52" s="2"/>
      <c r="Q52" s="2"/>
      <c r="R52" s="2"/>
      <c r="S52" s="2"/>
      <c r="T52" s="2"/>
      <c r="U52" s="2"/>
      <c r="V52" s="2"/>
      <c r="W52" s="2"/>
      <c r="X52" s="2"/>
      <c r="Y52" s="2"/>
      <c r="Z52" s="2"/>
    </row>
    <row r="53" ht="16.5" customHeight="1">
      <c r="A53" s="2"/>
      <c r="B53" s="80">
        <v>14.0</v>
      </c>
      <c r="C53" s="84">
        <f t="shared" si="6"/>
        <v>367572.1816</v>
      </c>
      <c r="D53" s="81">
        <f t="shared" si="7"/>
        <v>255145.171</v>
      </c>
      <c r="E53" s="81">
        <f t="shared" si="8"/>
        <v>112427.0106</v>
      </c>
      <c r="F53" s="81">
        <f t="shared" si="9"/>
        <v>6771542.99</v>
      </c>
      <c r="G53" s="2"/>
      <c r="H53" s="2"/>
      <c r="I53" s="2"/>
      <c r="J53" s="2"/>
      <c r="K53" s="2"/>
      <c r="L53" s="2"/>
      <c r="M53" s="2"/>
      <c r="N53" s="2"/>
      <c r="O53" s="2"/>
      <c r="P53" s="2"/>
      <c r="Q53" s="2"/>
      <c r="R53" s="2"/>
      <c r="S53" s="2"/>
      <c r="T53" s="2"/>
      <c r="U53" s="2"/>
      <c r="V53" s="2"/>
      <c r="W53" s="2"/>
      <c r="X53" s="2"/>
      <c r="Y53" s="2"/>
      <c r="Z53" s="2"/>
    </row>
    <row r="54" ht="16.5" customHeight="1">
      <c r="A54" s="2"/>
      <c r="B54" s="80">
        <v>15.0</v>
      </c>
      <c r="C54" s="84">
        <f t="shared" si="6"/>
        <v>367572.1816</v>
      </c>
      <c r="D54" s="81">
        <f t="shared" si="7"/>
        <v>259227.4937</v>
      </c>
      <c r="E54" s="81">
        <f t="shared" si="8"/>
        <v>108344.6878</v>
      </c>
      <c r="F54" s="81">
        <f t="shared" si="9"/>
        <v>6512315.496</v>
      </c>
      <c r="G54" s="2"/>
      <c r="H54" s="2"/>
      <c r="I54" s="2"/>
      <c r="J54" s="2"/>
      <c r="K54" s="2"/>
      <c r="L54" s="2"/>
      <c r="M54" s="2"/>
      <c r="N54" s="2"/>
      <c r="O54" s="2"/>
      <c r="P54" s="2"/>
      <c r="Q54" s="2"/>
      <c r="R54" s="2"/>
      <c r="S54" s="2"/>
      <c r="T54" s="2"/>
      <c r="U54" s="2"/>
      <c r="V54" s="2"/>
      <c r="W54" s="2"/>
      <c r="X54" s="2"/>
      <c r="Y54" s="2"/>
      <c r="Z54" s="2"/>
    </row>
    <row r="55" ht="16.5" customHeight="1">
      <c r="A55" s="2"/>
      <c r="B55" s="80">
        <v>16.0</v>
      </c>
      <c r="C55" s="84">
        <f t="shared" si="6"/>
        <v>367572.1816</v>
      </c>
      <c r="D55" s="81">
        <f t="shared" si="7"/>
        <v>263375.1336</v>
      </c>
      <c r="E55" s="81">
        <f t="shared" si="8"/>
        <v>104197.0479</v>
      </c>
      <c r="F55" s="81">
        <f t="shared" si="9"/>
        <v>6248940.362</v>
      </c>
      <c r="G55" s="2"/>
      <c r="H55" s="2"/>
      <c r="I55" s="2"/>
      <c r="J55" s="2"/>
      <c r="K55" s="2"/>
      <c r="L55" s="2"/>
      <c r="M55" s="2"/>
      <c r="N55" s="2"/>
      <c r="O55" s="2"/>
      <c r="P55" s="2"/>
      <c r="Q55" s="2"/>
      <c r="R55" s="2"/>
      <c r="S55" s="2"/>
      <c r="T55" s="2"/>
      <c r="U55" s="2"/>
      <c r="V55" s="2"/>
      <c r="W55" s="2"/>
      <c r="X55" s="2"/>
      <c r="Y55" s="2"/>
      <c r="Z55" s="2"/>
    </row>
    <row r="56" ht="16.5" customHeight="1">
      <c r="A56" s="2"/>
      <c r="B56" s="80">
        <v>17.0</v>
      </c>
      <c r="C56" s="84">
        <f t="shared" si="6"/>
        <v>367572.1816</v>
      </c>
      <c r="D56" s="81">
        <f t="shared" si="7"/>
        <v>267589.1358</v>
      </c>
      <c r="E56" s="81">
        <f t="shared" si="8"/>
        <v>99983.0458</v>
      </c>
      <c r="F56" s="81">
        <f t="shared" si="9"/>
        <v>5981351.227</v>
      </c>
      <c r="G56" s="2"/>
      <c r="H56" s="2"/>
      <c r="I56" s="2"/>
      <c r="J56" s="2"/>
      <c r="K56" s="2"/>
      <c r="L56" s="2"/>
      <c r="M56" s="2"/>
      <c r="N56" s="2"/>
      <c r="O56" s="2"/>
      <c r="P56" s="2"/>
      <c r="Q56" s="2"/>
      <c r="R56" s="2"/>
      <c r="S56" s="2"/>
      <c r="T56" s="2"/>
      <c r="U56" s="2"/>
      <c r="V56" s="2"/>
      <c r="W56" s="2"/>
      <c r="X56" s="2"/>
      <c r="Y56" s="2"/>
      <c r="Z56" s="2"/>
    </row>
    <row r="57" ht="16.5" customHeight="1">
      <c r="A57" s="2"/>
      <c r="B57" s="80">
        <v>18.0</v>
      </c>
      <c r="C57" s="84">
        <f t="shared" si="6"/>
        <v>367572.1816</v>
      </c>
      <c r="D57" s="81">
        <f t="shared" si="7"/>
        <v>271870.5619</v>
      </c>
      <c r="E57" s="81">
        <f t="shared" si="8"/>
        <v>95701.61963</v>
      </c>
      <c r="F57" s="81">
        <f t="shared" si="9"/>
        <v>5709480.665</v>
      </c>
      <c r="G57" s="2"/>
      <c r="H57" s="2"/>
      <c r="I57" s="2"/>
      <c r="J57" s="2"/>
      <c r="K57" s="2"/>
      <c r="L57" s="2"/>
      <c r="M57" s="2"/>
      <c r="N57" s="2"/>
      <c r="O57" s="2"/>
      <c r="P57" s="2"/>
      <c r="Q57" s="2"/>
      <c r="R57" s="2"/>
      <c r="S57" s="2"/>
      <c r="T57" s="2"/>
      <c r="U57" s="2"/>
      <c r="V57" s="2"/>
      <c r="W57" s="2"/>
      <c r="X57" s="2"/>
      <c r="Y57" s="2"/>
      <c r="Z57" s="2"/>
    </row>
    <row r="58" ht="16.5" customHeight="1">
      <c r="A58" s="2"/>
      <c r="B58" s="80">
        <v>19.0</v>
      </c>
      <c r="C58" s="84">
        <f t="shared" si="6"/>
        <v>367572.1816</v>
      </c>
      <c r="D58" s="81">
        <f t="shared" si="7"/>
        <v>276220.4909</v>
      </c>
      <c r="E58" s="81">
        <f t="shared" si="8"/>
        <v>91351.69063</v>
      </c>
      <c r="F58" s="81">
        <f t="shared" si="9"/>
        <v>5433260.174</v>
      </c>
      <c r="G58" s="2"/>
      <c r="H58" s="2"/>
      <c r="I58" s="2"/>
      <c r="J58" s="2"/>
      <c r="K58" s="2"/>
      <c r="L58" s="2"/>
      <c r="M58" s="2"/>
      <c r="N58" s="2"/>
      <c r="O58" s="2"/>
      <c r="P58" s="2"/>
      <c r="Q58" s="2"/>
      <c r="R58" s="2"/>
      <c r="S58" s="2"/>
      <c r="T58" s="2"/>
      <c r="U58" s="2"/>
      <c r="V58" s="2"/>
      <c r="W58" s="2"/>
      <c r="X58" s="2"/>
      <c r="Y58" s="2"/>
      <c r="Z58" s="2"/>
    </row>
    <row r="59" ht="16.5" customHeight="1">
      <c r="A59" s="2"/>
      <c r="B59" s="80">
        <v>20.0</v>
      </c>
      <c r="C59" s="84">
        <f t="shared" si="6"/>
        <v>367572.1816</v>
      </c>
      <c r="D59" s="81">
        <f t="shared" si="7"/>
        <v>280640.0188</v>
      </c>
      <c r="E59" s="81">
        <f t="shared" si="8"/>
        <v>86932.16278</v>
      </c>
      <c r="F59" s="81">
        <f t="shared" si="9"/>
        <v>5152620.155</v>
      </c>
      <c r="G59" s="2"/>
      <c r="H59" s="2"/>
      <c r="I59" s="2"/>
      <c r="J59" s="2"/>
      <c r="K59" s="2"/>
      <c r="L59" s="2"/>
      <c r="M59" s="2"/>
      <c r="N59" s="2"/>
      <c r="O59" s="2"/>
      <c r="P59" s="2"/>
      <c r="Q59" s="2"/>
      <c r="R59" s="2"/>
      <c r="S59" s="2"/>
      <c r="T59" s="2"/>
      <c r="U59" s="2"/>
      <c r="V59" s="2"/>
      <c r="W59" s="2"/>
      <c r="X59" s="2"/>
      <c r="Y59" s="2"/>
      <c r="Z59" s="2"/>
    </row>
    <row r="60" ht="16.5" customHeight="1">
      <c r="A60" s="2"/>
      <c r="B60" s="80">
        <v>21.0</v>
      </c>
      <c r="C60" s="84">
        <f t="shared" si="6"/>
        <v>367572.1816</v>
      </c>
      <c r="D60" s="81">
        <f t="shared" si="7"/>
        <v>285130.2591</v>
      </c>
      <c r="E60" s="81">
        <f t="shared" si="8"/>
        <v>82441.92248</v>
      </c>
      <c r="F60" s="81">
        <f t="shared" si="9"/>
        <v>4867489.896</v>
      </c>
      <c r="G60" s="2"/>
      <c r="H60" s="2"/>
      <c r="I60" s="2"/>
      <c r="J60" s="2"/>
      <c r="K60" s="2"/>
      <c r="L60" s="2"/>
      <c r="M60" s="2"/>
      <c r="N60" s="2"/>
      <c r="O60" s="2"/>
      <c r="P60" s="2"/>
      <c r="Q60" s="2"/>
      <c r="R60" s="2"/>
      <c r="S60" s="2"/>
      <c r="T60" s="2"/>
      <c r="U60" s="2"/>
      <c r="V60" s="2"/>
      <c r="W60" s="2"/>
      <c r="X60" s="2"/>
      <c r="Y60" s="2"/>
      <c r="Z60" s="2"/>
    </row>
    <row r="61" ht="16.5" customHeight="1">
      <c r="A61" s="2"/>
      <c r="B61" s="80">
        <v>22.0</v>
      </c>
      <c r="C61" s="84">
        <f t="shared" si="6"/>
        <v>367572.1816</v>
      </c>
      <c r="D61" s="81">
        <f t="shared" si="7"/>
        <v>289692.3432</v>
      </c>
      <c r="E61" s="81">
        <f t="shared" si="8"/>
        <v>77879.83833</v>
      </c>
      <c r="F61" s="81">
        <f t="shared" si="9"/>
        <v>4577797.553</v>
      </c>
      <c r="G61" s="2"/>
      <c r="H61" s="2"/>
      <c r="I61" s="2"/>
      <c r="J61" s="2"/>
      <c r="K61" s="2"/>
      <c r="L61" s="2"/>
      <c r="M61" s="2"/>
      <c r="N61" s="2"/>
      <c r="O61" s="2"/>
      <c r="P61" s="2"/>
      <c r="Q61" s="2"/>
      <c r="R61" s="2"/>
      <c r="S61" s="2"/>
      <c r="T61" s="2"/>
      <c r="U61" s="2"/>
      <c r="V61" s="2"/>
      <c r="W61" s="2"/>
      <c r="X61" s="2"/>
      <c r="Y61" s="2"/>
      <c r="Z61" s="2"/>
    </row>
    <row r="62" ht="16.5" customHeight="1">
      <c r="A62" s="2"/>
      <c r="B62" s="80">
        <v>23.0</v>
      </c>
      <c r="C62" s="84">
        <f t="shared" si="6"/>
        <v>367572.1816</v>
      </c>
      <c r="D62" s="81">
        <f t="shared" si="7"/>
        <v>294327.4207</v>
      </c>
      <c r="E62" s="81">
        <f t="shared" si="8"/>
        <v>73244.76084</v>
      </c>
      <c r="F62" s="81">
        <f t="shared" si="9"/>
        <v>4283470.132</v>
      </c>
      <c r="G62" s="2"/>
      <c r="H62" s="2"/>
      <c r="I62" s="2"/>
      <c r="J62" s="2"/>
      <c r="K62" s="2"/>
      <c r="L62" s="2"/>
      <c r="M62" s="2"/>
      <c r="N62" s="2"/>
      <c r="O62" s="2"/>
      <c r="P62" s="2"/>
      <c r="Q62" s="2"/>
      <c r="R62" s="2"/>
      <c r="S62" s="2"/>
      <c r="T62" s="2"/>
      <c r="U62" s="2"/>
      <c r="V62" s="2"/>
      <c r="W62" s="2"/>
      <c r="X62" s="2"/>
      <c r="Y62" s="2"/>
      <c r="Z62" s="2"/>
    </row>
    <row r="63" ht="16.5" customHeight="1">
      <c r="A63" s="2"/>
      <c r="B63" s="80">
        <v>24.0</v>
      </c>
      <c r="C63" s="84">
        <f t="shared" si="6"/>
        <v>367572.1816</v>
      </c>
      <c r="D63" s="81">
        <f t="shared" si="7"/>
        <v>299036.6595</v>
      </c>
      <c r="E63" s="81">
        <f t="shared" si="8"/>
        <v>68535.52211</v>
      </c>
      <c r="F63" s="81">
        <f t="shared" si="9"/>
        <v>3984433.472</v>
      </c>
      <c r="G63" s="2"/>
      <c r="H63" s="2"/>
      <c r="I63" s="2"/>
      <c r="J63" s="2"/>
      <c r="K63" s="2"/>
      <c r="L63" s="2"/>
      <c r="M63" s="2"/>
      <c r="N63" s="2"/>
      <c r="O63" s="2"/>
      <c r="P63" s="2"/>
      <c r="Q63" s="2"/>
      <c r="R63" s="2"/>
      <c r="S63" s="2"/>
      <c r="T63" s="2"/>
      <c r="U63" s="2"/>
      <c r="V63" s="2"/>
      <c r="W63" s="2"/>
      <c r="X63" s="2"/>
      <c r="Y63" s="2"/>
      <c r="Z63" s="2"/>
    </row>
    <row r="64" ht="16.5" customHeight="1">
      <c r="A64" s="2"/>
      <c r="B64" s="80">
        <v>25.0</v>
      </c>
      <c r="C64" s="84">
        <f t="shared" si="6"/>
        <v>367572.1816</v>
      </c>
      <c r="D64" s="81">
        <f t="shared" si="7"/>
        <v>303821.246</v>
      </c>
      <c r="E64" s="81">
        <f t="shared" si="8"/>
        <v>63750.93556</v>
      </c>
      <c r="F64" s="81">
        <f t="shared" si="9"/>
        <v>3680612.226</v>
      </c>
      <c r="G64" s="2"/>
      <c r="H64" s="2"/>
      <c r="I64" s="2"/>
      <c r="J64" s="2"/>
      <c r="K64" s="2"/>
      <c r="L64" s="2"/>
      <c r="M64" s="2"/>
      <c r="N64" s="2"/>
      <c r="O64" s="2"/>
      <c r="P64" s="2"/>
      <c r="Q64" s="2"/>
      <c r="R64" s="2"/>
      <c r="S64" s="2"/>
      <c r="T64" s="2"/>
      <c r="U64" s="2"/>
      <c r="V64" s="2"/>
      <c r="W64" s="2"/>
      <c r="X64" s="2"/>
      <c r="Y64" s="2"/>
      <c r="Z64" s="2"/>
    </row>
    <row r="65" ht="16.5" customHeight="1">
      <c r="A65" s="2"/>
      <c r="B65" s="80">
        <v>26.0</v>
      </c>
      <c r="C65" s="84">
        <f t="shared" si="6"/>
        <v>367572.1816</v>
      </c>
      <c r="D65" s="81">
        <f t="shared" si="7"/>
        <v>308682.386</v>
      </c>
      <c r="E65" s="81">
        <f t="shared" si="8"/>
        <v>58889.79562</v>
      </c>
      <c r="F65" s="81">
        <f t="shared" si="9"/>
        <v>3371929.84</v>
      </c>
      <c r="G65" s="2"/>
      <c r="H65" s="2"/>
      <c r="I65" s="2"/>
      <c r="J65" s="2"/>
      <c r="K65" s="2"/>
      <c r="L65" s="2"/>
      <c r="M65" s="2"/>
      <c r="N65" s="2"/>
      <c r="O65" s="2"/>
      <c r="P65" s="2"/>
      <c r="Q65" s="2"/>
      <c r="R65" s="2"/>
      <c r="S65" s="2"/>
      <c r="T65" s="2"/>
      <c r="U65" s="2"/>
      <c r="V65" s="2"/>
      <c r="W65" s="2"/>
      <c r="X65" s="2"/>
      <c r="Y65" s="2"/>
      <c r="Z65" s="2"/>
    </row>
    <row r="66" ht="16.5" customHeight="1">
      <c r="A66" s="2"/>
      <c r="B66" s="80">
        <v>27.0</v>
      </c>
      <c r="C66" s="84">
        <f t="shared" si="6"/>
        <v>367572.1816</v>
      </c>
      <c r="D66" s="81">
        <f t="shared" si="7"/>
        <v>313621.3041</v>
      </c>
      <c r="E66" s="81">
        <f t="shared" si="8"/>
        <v>53950.87745</v>
      </c>
      <c r="F66" s="81">
        <f t="shared" si="9"/>
        <v>3058308.536</v>
      </c>
      <c r="G66" s="2"/>
      <c r="H66" s="2"/>
      <c r="I66" s="2"/>
      <c r="J66" s="2"/>
      <c r="K66" s="2"/>
      <c r="L66" s="2"/>
      <c r="M66" s="2"/>
      <c r="N66" s="2"/>
      <c r="O66" s="2"/>
      <c r="P66" s="2"/>
      <c r="Q66" s="2"/>
      <c r="R66" s="2"/>
      <c r="S66" s="2"/>
      <c r="T66" s="2"/>
      <c r="U66" s="2"/>
      <c r="V66" s="2"/>
      <c r="W66" s="2"/>
      <c r="X66" s="2"/>
      <c r="Y66" s="2"/>
      <c r="Z66" s="2"/>
    </row>
    <row r="67" ht="16.5" customHeight="1">
      <c r="A67" s="2"/>
      <c r="B67" s="80">
        <v>28.0</v>
      </c>
      <c r="C67" s="84">
        <f t="shared" si="6"/>
        <v>367572.1816</v>
      </c>
      <c r="D67" s="81">
        <f t="shared" si="7"/>
        <v>318639.245</v>
      </c>
      <c r="E67" s="81">
        <f t="shared" si="8"/>
        <v>48932.93658</v>
      </c>
      <c r="F67" s="81">
        <f t="shared" si="9"/>
        <v>2739669.291</v>
      </c>
      <c r="G67" s="2"/>
      <c r="H67" s="2"/>
      <c r="I67" s="2"/>
      <c r="J67" s="2"/>
      <c r="K67" s="2"/>
      <c r="L67" s="2"/>
      <c r="M67" s="2"/>
      <c r="N67" s="2"/>
      <c r="O67" s="2"/>
      <c r="P67" s="2"/>
      <c r="Q67" s="2"/>
      <c r="R67" s="2"/>
      <c r="S67" s="2"/>
      <c r="T67" s="2"/>
      <c r="U67" s="2"/>
      <c r="V67" s="2"/>
      <c r="W67" s="2"/>
      <c r="X67" s="2"/>
      <c r="Y67" s="2"/>
      <c r="Z67" s="2"/>
    </row>
    <row r="68" ht="16.5" customHeight="1">
      <c r="A68" s="2"/>
      <c r="B68" s="80">
        <v>29.0</v>
      </c>
      <c r="C68" s="84">
        <f t="shared" si="6"/>
        <v>367572.1816</v>
      </c>
      <c r="D68" s="81">
        <f t="shared" si="7"/>
        <v>323737.4729</v>
      </c>
      <c r="E68" s="81">
        <f t="shared" si="8"/>
        <v>43834.70866</v>
      </c>
      <c r="F68" s="81">
        <f t="shared" si="9"/>
        <v>2415931.818</v>
      </c>
      <c r="G68" s="2"/>
      <c r="H68" s="2"/>
      <c r="I68" s="2"/>
      <c r="J68" s="2"/>
      <c r="K68" s="2"/>
      <c r="L68" s="2"/>
      <c r="M68" s="2"/>
      <c r="N68" s="2"/>
      <c r="O68" s="2"/>
      <c r="P68" s="2"/>
      <c r="Q68" s="2"/>
      <c r="R68" s="2"/>
      <c r="S68" s="2"/>
      <c r="T68" s="2"/>
      <c r="U68" s="2"/>
      <c r="V68" s="2"/>
      <c r="W68" s="2"/>
      <c r="X68" s="2"/>
      <c r="Y68" s="2"/>
      <c r="Z68" s="2"/>
    </row>
    <row r="69" ht="16.5" customHeight="1">
      <c r="A69" s="2"/>
      <c r="B69" s="80">
        <v>30.0</v>
      </c>
      <c r="C69" s="84">
        <f t="shared" si="6"/>
        <v>367572.1816</v>
      </c>
      <c r="D69" s="81">
        <f t="shared" si="7"/>
        <v>328917.2725</v>
      </c>
      <c r="E69" s="81">
        <f t="shared" si="8"/>
        <v>38654.90909</v>
      </c>
      <c r="F69" s="81">
        <f t="shared" si="9"/>
        <v>2087014.546</v>
      </c>
      <c r="G69" s="2"/>
      <c r="H69" s="2"/>
      <c r="I69" s="2"/>
      <c r="J69" s="2"/>
      <c r="K69" s="2"/>
      <c r="L69" s="2"/>
      <c r="M69" s="2"/>
      <c r="N69" s="2"/>
      <c r="O69" s="2"/>
      <c r="P69" s="2"/>
      <c r="Q69" s="2"/>
      <c r="R69" s="2"/>
      <c r="S69" s="2"/>
      <c r="T69" s="2"/>
      <c r="U69" s="2"/>
      <c r="V69" s="2"/>
      <c r="W69" s="2"/>
      <c r="X69" s="2"/>
      <c r="Y69" s="2"/>
      <c r="Z69" s="2"/>
    </row>
    <row r="70" ht="16.5" customHeight="1">
      <c r="A70" s="2"/>
      <c r="B70" s="80">
        <v>31.0</v>
      </c>
      <c r="C70" s="84">
        <f t="shared" si="6"/>
        <v>367572.1816</v>
      </c>
      <c r="D70" s="81">
        <f t="shared" si="7"/>
        <v>334179.9488</v>
      </c>
      <c r="E70" s="81">
        <f t="shared" si="8"/>
        <v>33392.23273</v>
      </c>
      <c r="F70" s="81">
        <f t="shared" si="9"/>
        <v>1752834.597</v>
      </c>
      <c r="G70" s="2"/>
      <c r="H70" s="2"/>
      <c r="I70" s="2"/>
      <c r="J70" s="2"/>
      <c r="K70" s="2"/>
      <c r="L70" s="2"/>
      <c r="M70" s="2"/>
      <c r="N70" s="2"/>
      <c r="O70" s="2"/>
      <c r="P70" s="2"/>
      <c r="Q70" s="2"/>
      <c r="R70" s="2"/>
      <c r="S70" s="2"/>
      <c r="T70" s="2"/>
      <c r="U70" s="2"/>
      <c r="V70" s="2"/>
      <c r="W70" s="2"/>
      <c r="X70" s="2"/>
      <c r="Y70" s="2"/>
      <c r="Z70" s="2"/>
    </row>
    <row r="71" ht="16.5" customHeight="1">
      <c r="A71" s="2"/>
      <c r="B71" s="80">
        <v>32.0</v>
      </c>
      <c r="C71" s="84">
        <f t="shared" si="6"/>
        <v>367572.1816</v>
      </c>
      <c r="D71" s="81">
        <f t="shared" si="7"/>
        <v>339526.828</v>
      </c>
      <c r="E71" s="81">
        <f t="shared" si="8"/>
        <v>28045.35355</v>
      </c>
      <c r="F71" s="81">
        <f t="shared" si="9"/>
        <v>1413307.769</v>
      </c>
      <c r="G71" s="2"/>
      <c r="H71" s="2"/>
      <c r="I71" s="2"/>
      <c r="J71" s="2"/>
      <c r="K71" s="2"/>
      <c r="L71" s="2"/>
      <c r="M71" s="2"/>
      <c r="N71" s="2"/>
      <c r="O71" s="2"/>
      <c r="P71" s="2"/>
      <c r="Q71" s="2"/>
      <c r="R71" s="2"/>
      <c r="S71" s="2"/>
      <c r="T71" s="2"/>
      <c r="U71" s="2"/>
      <c r="V71" s="2"/>
      <c r="W71" s="2"/>
      <c r="X71" s="2"/>
      <c r="Y71" s="2"/>
      <c r="Z71" s="2"/>
    </row>
    <row r="72" ht="16.5" customHeight="1">
      <c r="A72" s="2"/>
      <c r="B72" s="80">
        <v>33.0</v>
      </c>
      <c r="C72" s="84">
        <f t="shared" si="6"/>
        <v>367572.1816</v>
      </c>
      <c r="D72" s="81">
        <f t="shared" si="7"/>
        <v>344959.2573</v>
      </c>
      <c r="E72" s="81">
        <f t="shared" si="8"/>
        <v>22612.9243</v>
      </c>
      <c r="F72" s="81">
        <f t="shared" si="9"/>
        <v>1068348.512</v>
      </c>
      <c r="G72" s="2"/>
      <c r="H72" s="2"/>
      <c r="I72" s="2"/>
      <c r="J72" s="2"/>
      <c r="K72" s="2"/>
      <c r="L72" s="2"/>
      <c r="M72" s="2"/>
      <c r="N72" s="2"/>
      <c r="O72" s="2"/>
      <c r="P72" s="2"/>
      <c r="Q72" s="2"/>
      <c r="R72" s="2"/>
      <c r="S72" s="2"/>
      <c r="T72" s="2"/>
      <c r="U72" s="2"/>
      <c r="V72" s="2"/>
      <c r="W72" s="2"/>
      <c r="X72" s="2"/>
      <c r="Y72" s="2"/>
      <c r="Z72" s="2"/>
    </row>
    <row r="73" ht="16.5" customHeight="1">
      <c r="A73" s="2"/>
      <c r="B73" s="80">
        <v>34.0</v>
      </c>
      <c r="C73" s="84">
        <f t="shared" si="6"/>
        <v>367572.1816</v>
      </c>
      <c r="D73" s="81">
        <f t="shared" si="7"/>
        <v>350478.6054</v>
      </c>
      <c r="E73" s="81">
        <f t="shared" si="8"/>
        <v>17093.57619</v>
      </c>
      <c r="F73" s="81">
        <f t="shared" si="9"/>
        <v>717869.9064</v>
      </c>
      <c r="G73" s="2"/>
      <c r="H73" s="2"/>
      <c r="I73" s="2"/>
      <c r="J73" s="2"/>
      <c r="K73" s="2"/>
      <c r="L73" s="2"/>
      <c r="M73" s="2"/>
      <c r="N73" s="2"/>
      <c r="O73" s="2"/>
      <c r="P73" s="2"/>
      <c r="Q73" s="2"/>
      <c r="R73" s="2"/>
      <c r="S73" s="2"/>
      <c r="T73" s="2"/>
      <c r="U73" s="2"/>
      <c r="V73" s="2"/>
      <c r="W73" s="2"/>
      <c r="X73" s="2"/>
      <c r="Y73" s="2"/>
      <c r="Z73" s="2"/>
    </row>
    <row r="74" ht="16.5" customHeight="1">
      <c r="A74" s="2"/>
      <c r="B74" s="80">
        <v>35.0</v>
      </c>
      <c r="C74" s="84">
        <f t="shared" si="6"/>
        <v>367572.1816</v>
      </c>
      <c r="D74" s="81">
        <f t="shared" si="7"/>
        <v>356086.2631</v>
      </c>
      <c r="E74" s="81">
        <f t="shared" si="8"/>
        <v>11485.9185</v>
      </c>
      <c r="F74" s="81">
        <f t="shared" si="9"/>
        <v>361783.6433</v>
      </c>
      <c r="G74" s="2"/>
      <c r="H74" s="2"/>
      <c r="I74" s="2"/>
      <c r="J74" s="2"/>
      <c r="K74" s="2"/>
      <c r="L74" s="2"/>
      <c r="M74" s="2"/>
      <c r="N74" s="2"/>
      <c r="O74" s="2"/>
      <c r="P74" s="2"/>
      <c r="Q74" s="2"/>
      <c r="R74" s="2"/>
      <c r="S74" s="2"/>
      <c r="T74" s="2"/>
      <c r="U74" s="2"/>
      <c r="V74" s="2"/>
      <c r="W74" s="2"/>
      <c r="X74" s="2"/>
      <c r="Y74" s="2"/>
      <c r="Z74" s="2"/>
    </row>
    <row r="75" ht="16.5" customHeight="1">
      <c r="A75" s="2"/>
      <c r="B75" s="80">
        <v>36.0</v>
      </c>
      <c r="C75" s="84">
        <f t="shared" si="6"/>
        <v>367572.1816</v>
      </c>
      <c r="D75" s="81">
        <f t="shared" si="7"/>
        <v>361783.6433</v>
      </c>
      <c r="E75" s="81">
        <f t="shared" si="8"/>
        <v>5788.538292</v>
      </c>
      <c r="F75" s="81">
        <f t="shared" si="9"/>
        <v>0.00000001321313903</v>
      </c>
      <c r="G75" s="2"/>
      <c r="H75" s="2"/>
      <c r="I75" s="2"/>
      <c r="J75" s="2"/>
      <c r="K75" s="2"/>
      <c r="L75" s="2"/>
      <c r="M75" s="2"/>
      <c r="N75" s="2"/>
      <c r="O75" s="2"/>
      <c r="P75" s="2"/>
      <c r="Q75" s="2"/>
      <c r="R75" s="2"/>
      <c r="S75" s="2"/>
      <c r="T75" s="2"/>
      <c r="U75" s="2"/>
      <c r="V75" s="2"/>
      <c r="W75" s="2"/>
      <c r="X75" s="2"/>
      <c r="Y75" s="2"/>
      <c r="Z75" s="2"/>
    </row>
    <row r="76" ht="16.5" customHeight="1">
      <c r="A76" s="2"/>
      <c r="B76" s="2"/>
      <c r="C76" s="62">
        <f t="shared" ref="C76:E76" si="10">SUM(C39:C75)</f>
        <v>13232598.54</v>
      </c>
      <c r="D76" s="62">
        <f t="shared" si="10"/>
        <v>10000000</v>
      </c>
      <c r="E76" s="62">
        <f t="shared" si="10"/>
        <v>3232598.537</v>
      </c>
      <c r="F76" s="62"/>
      <c r="G76" s="2"/>
      <c r="H76" s="2"/>
      <c r="I76" s="2"/>
      <c r="J76" s="2"/>
      <c r="K76" s="2"/>
      <c r="L76" s="2"/>
      <c r="M76" s="2"/>
      <c r="N76" s="2"/>
      <c r="O76" s="2"/>
      <c r="P76" s="2"/>
      <c r="Q76" s="2"/>
      <c r="R76" s="2"/>
      <c r="S76" s="2"/>
      <c r="T76" s="2"/>
      <c r="U76" s="2"/>
      <c r="V76" s="2"/>
      <c r="W76" s="2"/>
      <c r="X76" s="2"/>
      <c r="Y76" s="2"/>
      <c r="Z76" s="2"/>
    </row>
    <row r="77" ht="16.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6.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
    <mergeCell ref="L2:M2"/>
    <mergeCell ref="B26:E26"/>
    <mergeCell ref="B36:B37"/>
    <mergeCell ref="I36:J36"/>
    <mergeCell ref="I37:J37"/>
    <mergeCell ref="I38:J38"/>
    <mergeCell ref="I39:I40"/>
    <mergeCell ref="J39:J40"/>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39.5"/>
    <col customWidth="1" min="4" max="4" width="11.38"/>
    <col customWidth="1" min="5" max="5" width="15.63"/>
    <col customWidth="1" min="6" max="6" width="22.88"/>
    <col customWidth="1" min="7" max="7" width="18.75"/>
    <col customWidth="1" min="8" max="10" width="13.75"/>
    <col customWidth="1" min="11" max="11" width="15.75"/>
    <col customWidth="1" min="12" max="12" width="16.38"/>
    <col customWidth="1" min="13" max="13" width="22.63"/>
    <col customWidth="1" min="14" max="26" width="11.38"/>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3" t="s">
        <v>0</v>
      </c>
      <c r="I3" s="5"/>
      <c r="J3" s="6"/>
      <c r="K3" s="1"/>
      <c r="L3" s="1"/>
      <c r="M3" s="1"/>
      <c r="N3" s="1"/>
      <c r="O3" s="1"/>
      <c r="P3" s="1"/>
      <c r="Q3" s="1"/>
      <c r="R3" s="1"/>
      <c r="S3" s="1"/>
      <c r="T3" s="1"/>
      <c r="U3" s="1"/>
      <c r="V3" s="1"/>
      <c r="W3" s="1"/>
      <c r="X3" s="1"/>
      <c r="Y3" s="1"/>
      <c r="Z3" s="1"/>
    </row>
    <row r="4" ht="13.5" customHeight="1">
      <c r="A4" s="1"/>
      <c r="B4" s="1"/>
      <c r="C4" s="8" t="s">
        <v>4</v>
      </c>
      <c r="D4" s="8" t="s">
        <v>6</v>
      </c>
      <c r="E4" s="8" t="s">
        <v>7</v>
      </c>
      <c r="F4" s="8" t="s">
        <v>8</v>
      </c>
      <c r="G4" s="8" t="s">
        <v>9</v>
      </c>
      <c r="H4" s="11" t="s">
        <v>10</v>
      </c>
      <c r="I4" s="11" t="s">
        <v>14</v>
      </c>
      <c r="J4" s="11" t="s">
        <v>16</v>
      </c>
      <c r="K4" s="11" t="s">
        <v>17</v>
      </c>
      <c r="L4" s="8"/>
      <c r="M4" s="1"/>
      <c r="N4" s="1"/>
      <c r="O4" s="1"/>
      <c r="P4" s="1"/>
      <c r="Q4" s="1"/>
      <c r="R4" s="1"/>
      <c r="S4" s="1"/>
      <c r="T4" s="1"/>
      <c r="U4" s="1"/>
      <c r="V4" s="1"/>
      <c r="W4" s="1"/>
      <c r="X4" s="1"/>
      <c r="Y4" s="1"/>
      <c r="Z4" s="1"/>
    </row>
    <row r="5" ht="13.5" customHeight="1">
      <c r="A5" s="1"/>
      <c r="B5" s="1"/>
      <c r="C5" s="13" t="s">
        <v>19</v>
      </c>
      <c r="D5" s="13">
        <v>1.0</v>
      </c>
      <c r="E5" s="14">
        <v>5500000.0</v>
      </c>
      <c r="F5" s="20">
        <f t="shared" ref="F5:F9" si="1">IF((E5&lt;=$E$14),249095,0)</f>
        <v>0</v>
      </c>
      <c r="G5" s="14">
        <f t="shared" ref="G5:G9" si="2">E5+F5</f>
        <v>5500000</v>
      </c>
      <c r="H5" s="14">
        <f t="shared" ref="H5:H9" si="3">E5*4%</f>
        <v>220000</v>
      </c>
      <c r="I5" s="14">
        <f t="shared" ref="I5:I9" si="4">E5*4%</f>
        <v>220000</v>
      </c>
      <c r="J5" s="14">
        <f t="shared" ref="J5:J9" si="5">IF((E5&lt;=$E$16),0,E5*1%)</f>
        <v>0</v>
      </c>
      <c r="K5" s="14">
        <f t="shared" ref="K5:K9" si="6">G5-H5-I5</f>
        <v>5060000</v>
      </c>
      <c r="L5" s="14">
        <f t="shared" ref="L5:L9" si="7">K5*D5</f>
        <v>5060000</v>
      </c>
      <c r="M5" s="13" t="s">
        <v>35</v>
      </c>
      <c r="N5" s="1"/>
      <c r="O5" s="1"/>
      <c r="P5" s="1"/>
      <c r="Q5" s="1"/>
      <c r="R5" s="1"/>
      <c r="S5" s="1"/>
      <c r="T5" s="1"/>
      <c r="U5" s="1"/>
      <c r="V5" s="1"/>
      <c r="W5" s="1"/>
      <c r="X5" s="1"/>
      <c r="Y5" s="1"/>
      <c r="Z5" s="1"/>
    </row>
    <row r="6" ht="13.5" customHeight="1">
      <c r="A6" s="1"/>
      <c r="B6" s="1"/>
      <c r="C6" s="13" t="s">
        <v>38</v>
      </c>
      <c r="D6" s="13">
        <v>1.0</v>
      </c>
      <c r="E6" s="14">
        <v>5000000.0</v>
      </c>
      <c r="F6" s="20">
        <f t="shared" si="1"/>
        <v>0</v>
      </c>
      <c r="G6" s="14">
        <f t="shared" si="2"/>
        <v>5000000</v>
      </c>
      <c r="H6" s="14">
        <f t="shared" si="3"/>
        <v>200000</v>
      </c>
      <c r="I6" s="14">
        <f t="shared" si="4"/>
        <v>200000</v>
      </c>
      <c r="J6" s="14">
        <f t="shared" si="5"/>
        <v>0</v>
      </c>
      <c r="K6" s="14">
        <f t="shared" si="6"/>
        <v>4600000</v>
      </c>
      <c r="L6" s="14">
        <f t="shared" si="7"/>
        <v>4600000</v>
      </c>
      <c r="M6" s="13" t="s">
        <v>41</v>
      </c>
      <c r="N6" s="1"/>
      <c r="O6" s="1"/>
      <c r="P6" s="1"/>
      <c r="Q6" s="1"/>
      <c r="R6" s="1"/>
      <c r="S6" s="1"/>
      <c r="T6" s="1"/>
      <c r="U6" s="1"/>
      <c r="V6" s="1"/>
      <c r="W6" s="1"/>
      <c r="X6" s="1"/>
      <c r="Y6" s="1"/>
      <c r="Z6" s="1"/>
    </row>
    <row r="7" ht="13.5" customHeight="1">
      <c r="A7" s="1"/>
      <c r="B7" s="1"/>
      <c r="C7" s="13" t="s">
        <v>43</v>
      </c>
      <c r="D7" s="13">
        <v>2.0</v>
      </c>
      <c r="E7" s="14">
        <v>5000000.0</v>
      </c>
      <c r="F7" s="20">
        <f t="shared" si="1"/>
        <v>0</v>
      </c>
      <c r="G7" s="14">
        <f t="shared" si="2"/>
        <v>5000000</v>
      </c>
      <c r="H7" s="14">
        <f t="shared" si="3"/>
        <v>200000</v>
      </c>
      <c r="I7" s="14">
        <f t="shared" si="4"/>
        <v>200000</v>
      </c>
      <c r="J7" s="14">
        <f t="shared" si="5"/>
        <v>0</v>
      </c>
      <c r="K7" s="14">
        <f t="shared" si="6"/>
        <v>4600000</v>
      </c>
      <c r="L7" s="14">
        <f t="shared" si="7"/>
        <v>9200000</v>
      </c>
      <c r="M7" s="13" t="s">
        <v>41</v>
      </c>
      <c r="N7" s="1"/>
      <c r="O7" s="1"/>
      <c r="P7" s="1"/>
      <c r="Q7" s="1"/>
      <c r="R7" s="1"/>
      <c r="S7" s="1"/>
      <c r="T7" s="1"/>
      <c r="U7" s="1"/>
      <c r="V7" s="1"/>
      <c r="W7" s="1"/>
      <c r="X7" s="1"/>
      <c r="Y7" s="1"/>
      <c r="Z7" s="1"/>
    </row>
    <row r="8" ht="13.5" customHeight="1">
      <c r="A8" s="1"/>
      <c r="B8" s="1"/>
      <c r="C8" s="13" t="s">
        <v>47</v>
      </c>
      <c r="D8" s="38">
        <v>1.0</v>
      </c>
      <c r="E8" s="20">
        <v>2000000.0</v>
      </c>
      <c r="F8" s="20">
        <f t="shared" si="1"/>
        <v>249095</v>
      </c>
      <c r="G8" s="20">
        <f t="shared" si="2"/>
        <v>2249095</v>
      </c>
      <c r="H8" s="20">
        <f t="shared" si="3"/>
        <v>80000</v>
      </c>
      <c r="I8" s="20">
        <f t="shared" si="4"/>
        <v>80000</v>
      </c>
      <c r="J8" s="20">
        <f t="shared" si="5"/>
        <v>0</v>
      </c>
      <c r="K8" s="20">
        <f t="shared" si="6"/>
        <v>2089095</v>
      </c>
      <c r="L8" s="20">
        <f t="shared" si="7"/>
        <v>2089095</v>
      </c>
      <c r="M8" s="13" t="s">
        <v>41</v>
      </c>
      <c r="N8" s="1"/>
      <c r="O8" s="1"/>
      <c r="P8" s="1"/>
      <c r="Q8" s="1"/>
      <c r="R8" s="1"/>
      <c r="S8" s="1"/>
      <c r="T8" s="1"/>
      <c r="U8" s="1"/>
      <c r="V8" s="1"/>
      <c r="W8" s="1"/>
      <c r="X8" s="1"/>
      <c r="Y8" s="1"/>
      <c r="Z8" s="1"/>
    </row>
    <row r="9" ht="13.5" customHeight="1">
      <c r="A9" s="1"/>
      <c r="B9" s="1"/>
      <c r="C9" s="13" t="s">
        <v>54</v>
      </c>
      <c r="D9" s="13">
        <v>1.0</v>
      </c>
      <c r="E9" s="41">
        <v>2200000.0</v>
      </c>
      <c r="F9" s="14">
        <f t="shared" si="1"/>
        <v>249095</v>
      </c>
      <c r="G9" s="41">
        <f t="shared" si="2"/>
        <v>2449095</v>
      </c>
      <c r="H9" s="41">
        <f t="shared" si="3"/>
        <v>88000</v>
      </c>
      <c r="I9" s="41">
        <f t="shared" si="4"/>
        <v>88000</v>
      </c>
      <c r="J9" s="41">
        <f t="shared" si="5"/>
        <v>0</v>
      </c>
      <c r="K9" s="41">
        <f t="shared" si="6"/>
        <v>2273095</v>
      </c>
      <c r="L9" s="42">
        <f t="shared" si="7"/>
        <v>2273095</v>
      </c>
      <c r="M9" s="13" t="s">
        <v>56</v>
      </c>
      <c r="N9" s="1"/>
      <c r="O9" s="1"/>
      <c r="P9" s="1"/>
      <c r="Q9" s="1"/>
      <c r="R9" s="1"/>
      <c r="S9" s="1"/>
      <c r="T9" s="1"/>
      <c r="U9" s="1"/>
      <c r="V9" s="1"/>
      <c r="W9" s="1"/>
      <c r="X9" s="1"/>
      <c r="Y9" s="1"/>
      <c r="Z9" s="1"/>
    </row>
    <row r="10" ht="13.5" customHeight="1">
      <c r="A10" s="1"/>
      <c r="B10" s="1"/>
      <c r="C10" s="1" t="s">
        <v>58</v>
      </c>
      <c r="D10" s="1"/>
      <c r="E10" s="1"/>
      <c r="F10" s="34"/>
      <c r="G10" s="1"/>
      <c r="H10" s="1"/>
      <c r="I10" s="1"/>
      <c r="J10" s="1"/>
      <c r="K10" s="1"/>
      <c r="L10" s="24">
        <f>SUM(L5:L9)</f>
        <v>23222190</v>
      </c>
      <c r="M10" s="1"/>
      <c r="N10" s="1"/>
      <c r="O10" s="1"/>
      <c r="P10" s="1"/>
      <c r="Q10" s="1"/>
      <c r="R10" s="1"/>
      <c r="S10" s="1"/>
      <c r="T10" s="1"/>
      <c r="U10" s="1"/>
      <c r="V10" s="1"/>
      <c r="W10" s="1"/>
      <c r="X10" s="1"/>
      <c r="Y10" s="1"/>
      <c r="Z10" s="1"/>
    </row>
    <row r="11" ht="13.5" customHeight="1">
      <c r="A11" s="1"/>
      <c r="B11" s="1"/>
      <c r="C11" s="1"/>
      <c r="D11" s="45"/>
      <c r="E11" s="46"/>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3" t="s">
        <v>64</v>
      </c>
      <c r="E12" s="13">
        <v>1750905.0</v>
      </c>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50"/>
      <c r="E13" s="52"/>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3" t="s">
        <v>66</v>
      </c>
      <c r="E14" s="13">
        <f>E12*2</f>
        <v>3501810</v>
      </c>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55"/>
      <c r="E15" s="56"/>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3" t="s">
        <v>69</v>
      </c>
      <c r="E16" s="13">
        <f>E12*4</f>
        <v>7003620</v>
      </c>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t="s">
        <v>72</v>
      </c>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H3:J3"/>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45.38"/>
    <col customWidth="1" min="4" max="4" width="11.38"/>
    <col customWidth="1" min="5" max="6" width="15.38"/>
    <col customWidth="1" min="7" max="26" width="11.38"/>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t="s">
        <v>2</v>
      </c>
      <c r="D4" s="1"/>
      <c r="E4" s="1"/>
      <c r="F4" s="1"/>
      <c r="G4" s="1"/>
      <c r="H4" s="1"/>
      <c r="I4" s="1"/>
      <c r="J4" s="1"/>
      <c r="K4" s="1"/>
      <c r="L4" s="1"/>
      <c r="M4" s="1"/>
      <c r="N4" s="1"/>
      <c r="O4" s="1"/>
      <c r="P4" s="1"/>
      <c r="Q4" s="1"/>
      <c r="R4" s="1"/>
      <c r="S4" s="1"/>
      <c r="T4" s="1"/>
      <c r="U4" s="1"/>
      <c r="V4" s="1"/>
      <c r="W4" s="1"/>
      <c r="X4" s="1"/>
      <c r="Y4" s="1"/>
      <c r="Z4" s="1"/>
    </row>
    <row r="5" ht="13.5" customHeight="1">
      <c r="A5" s="1"/>
      <c r="B5" s="1"/>
      <c r="C5" s="10" t="s">
        <v>5</v>
      </c>
      <c r="D5" s="10" t="s">
        <v>11</v>
      </c>
      <c r="E5" s="10" t="s">
        <v>12</v>
      </c>
      <c r="F5" s="10" t="s">
        <v>13</v>
      </c>
      <c r="G5" s="1"/>
      <c r="H5" s="1"/>
      <c r="I5" s="1"/>
      <c r="J5" s="1"/>
      <c r="K5" s="1"/>
      <c r="L5" s="1"/>
      <c r="M5" s="1"/>
      <c r="N5" s="1"/>
      <c r="O5" s="1"/>
      <c r="P5" s="1"/>
      <c r="Q5" s="1"/>
      <c r="R5" s="1"/>
      <c r="S5" s="1"/>
      <c r="T5" s="1"/>
      <c r="U5" s="1"/>
      <c r="V5" s="1"/>
      <c r="W5" s="1"/>
      <c r="X5" s="1"/>
      <c r="Y5" s="1"/>
      <c r="Z5" s="1"/>
    </row>
    <row r="6" ht="13.5" customHeight="1">
      <c r="A6" s="1"/>
      <c r="B6" s="1"/>
      <c r="C6" s="13" t="s">
        <v>18</v>
      </c>
      <c r="D6" s="13">
        <v>6.0</v>
      </c>
      <c r="E6" s="16">
        <v>2000000.0</v>
      </c>
      <c r="F6" s="14">
        <f t="shared" ref="F6:F13" si="1">D6*E6</f>
        <v>12000000</v>
      </c>
      <c r="G6" s="1"/>
      <c r="H6" s="1"/>
      <c r="I6" s="1"/>
      <c r="J6" s="1"/>
      <c r="K6" s="1"/>
      <c r="L6" s="1"/>
      <c r="M6" s="1"/>
      <c r="N6" s="1"/>
      <c r="O6" s="1"/>
      <c r="P6" s="1"/>
      <c r="Q6" s="1"/>
      <c r="R6" s="1"/>
      <c r="S6" s="1"/>
      <c r="T6" s="1"/>
      <c r="U6" s="1"/>
      <c r="V6" s="1"/>
      <c r="W6" s="1"/>
      <c r="X6" s="1"/>
      <c r="Y6" s="1"/>
      <c r="Z6" s="1"/>
    </row>
    <row r="7" ht="13.5" customHeight="1">
      <c r="A7" s="1"/>
      <c r="B7" s="1"/>
      <c r="C7" s="22" t="s">
        <v>25</v>
      </c>
      <c r="D7" s="13">
        <v>6.0</v>
      </c>
      <c r="E7" s="16">
        <v>400000.0</v>
      </c>
      <c r="F7" s="14">
        <f t="shared" si="1"/>
        <v>2400000</v>
      </c>
      <c r="G7" s="1"/>
      <c r="H7" s="1"/>
      <c r="I7" s="1"/>
      <c r="J7" s="1"/>
      <c r="K7" s="1"/>
      <c r="L7" s="1"/>
      <c r="M7" s="1"/>
      <c r="N7" s="1"/>
      <c r="O7" s="1"/>
      <c r="P7" s="1"/>
      <c r="Q7" s="1"/>
      <c r="R7" s="1"/>
      <c r="S7" s="1"/>
      <c r="T7" s="1"/>
      <c r="U7" s="1"/>
      <c r="V7" s="1"/>
      <c r="W7" s="1"/>
      <c r="X7" s="1"/>
      <c r="Y7" s="1"/>
      <c r="Z7" s="1"/>
    </row>
    <row r="8" ht="13.5" customHeight="1">
      <c r="A8" s="1"/>
      <c r="B8" s="1"/>
      <c r="C8" s="22" t="s">
        <v>27</v>
      </c>
      <c r="D8" s="22">
        <v>6.0</v>
      </c>
      <c r="E8" s="16">
        <v>280000.0</v>
      </c>
      <c r="F8" s="14">
        <f t="shared" si="1"/>
        <v>1680000</v>
      </c>
      <c r="G8" s="1"/>
      <c r="H8" s="1"/>
      <c r="I8" s="1"/>
      <c r="J8" s="1"/>
      <c r="K8" s="1"/>
      <c r="L8" s="1"/>
      <c r="M8" s="1"/>
      <c r="N8" s="1"/>
      <c r="O8" s="1"/>
      <c r="P8" s="1"/>
      <c r="Q8" s="1"/>
      <c r="R8" s="1"/>
      <c r="S8" s="1"/>
      <c r="T8" s="1"/>
      <c r="U8" s="1"/>
      <c r="V8" s="1"/>
      <c r="W8" s="1"/>
      <c r="X8" s="1"/>
      <c r="Y8" s="1"/>
      <c r="Z8" s="1"/>
    </row>
    <row r="9" ht="13.5" customHeight="1">
      <c r="A9" s="1"/>
      <c r="B9" s="1"/>
      <c r="C9" s="22" t="s">
        <v>29</v>
      </c>
      <c r="D9" s="13">
        <v>1.0</v>
      </c>
      <c r="E9" s="16">
        <v>1130000.0</v>
      </c>
      <c r="F9" s="14">
        <f t="shared" si="1"/>
        <v>1130000</v>
      </c>
      <c r="G9" s="1"/>
      <c r="H9" s="1"/>
      <c r="I9" s="1"/>
      <c r="J9" s="1"/>
      <c r="K9" s="1"/>
      <c r="L9" s="1"/>
      <c r="M9" s="1"/>
      <c r="N9" s="1"/>
      <c r="O9" s="1"/>
      <c r="P9" s="1"/>
      <c r="Q9" s="1"/>
      <c r="R9" s="1"/>
      <c r="S9" s="1"/>
      <c r="T9" s="1"/>
      <c r="U9" s="1"/>
      <c r="V9" s="1"/>
      <c r="W9" s="1"/>
      <c r="X9" s="1"/>
      <c r="Y9" s="1"/>
      <c r="Z9" s="1"/>
    </row>
    <row r="10" ht="13.5" customHeight="1">
      <c r="A10" s="1"/>
      <c r="B10" s="29"/>
      <c r="C10" s="22" t="s">
        <v>31</v>
      </c>
      <c r="D10" s="22">
        <v>1.0</v>
      </c>
      <c r="E10" s="16">
        <v>160000.0</v>
      </c>
      <c r="F10" s="14">
        <f t="shared" si="1"/>
        <v>160000</v>
      </c>
      <c r="G10" s="30"/>
      <c r="H10" s="1"/>
      <c r="I10" s="1"/>
      <c r="J10" s="1"/>
      <c r="K10" s="1"/>
      <c r="L10" s="1"/>
      <c r="M10" s="1"/>
      <c r="N10" s="1"/>
      <c r="O10" s="1"/>
      <c r="P10" s="1"/>
      <c r="Q10" s="1"/>
      <c r="R10" s="1"/>
      <c r="S10" s="1"/>
      <c r="T10" s="1"/>
      <c r="U10" s="1"/>
      <c r="V10" s="1"/>
      <c r="W10" s="1"/>
      <c r="X10" s="1"/>
      <c r="Y10" s="1"/>
      <c r="Z10" s="1"/>
    </row>
    <row r="11" ht="13.5" customHeight="1">
      <c r="A11" s="1"/>
      <c r="B11" s="29"/>
      <c r="C11" s="22" t="s">
        <v>33</v>
      </c>
      <c r="D11" s="22">
        <v>1.0</v>
      </c>
      <c r="E11" s="31">
        <v>600000.0</v>
      </c>
      <c r="F11" s="14">
        <f t="shared" si="1"/>
        <v>600000</v>
      </c>
      <c r="G11" s="30"/>
      <c r="H11" s="1"/>
      <c r="I11" s="1"/>
      <c r="J11" s="1"/>
      <c r="K11" s="1"/>
      <c r="L11" s="1"/>
      <c r="M11" s="1"/>
      <c r="N11" s="1"/>
      <c r="O11" s="1"/>
      <c r="P11" s="1"/>
      <c r="Q11" s="1"/>
      <c r="R11" s="1"/>
      <c r="S11" s="1"/>
      <c r="T11" s="1"/>
      <c r="U11" s="1"/>
      <c r="V11" s="1"/>
      <c r="W11" s="1"/>
      <c r="X11" s="1"/>
      <c r="Y11" s="1"/>
      <c r="Z11" s="1"/>
    </row>
    <row r="12" ht="13.5" customHeight="1">
      <c r="A12" s="1"/>
      <c r="B12" s="29"/>
      <c r="C12" s="22" t="s">
        <v>36</v>
      </c>
      <c r="D12" s="22">
        <v>1.0</v>
      </c>
      <c r="E12" s="32">
        <v>1000000.0</v>
      </c>
      <c r="F12" s="14">
        <f t="shared" si="1"/>
        <v>1000000</v>
      </c>
      <c r="G12" s="30"/>
      <c r="H12" s="1"/>
      <c r="I12" s="1"/>
      <c r="J12" s="1"/>
      <c r="K12" s="1"/>
      <c r="L12" s="1"/>
      <c r="M12" s="1"/>
      <c r="N12" s="1"/>
      <c r="O12" s="1"/>
      <c r="P12" s="1"/>
      <c r="Q12" s="1"/>
      <c r="R12" s="1"/>
      <c r="S12" s="1"/>
      <c r="T12" s="1"/>
      <c r="U12" s="1"/>
      <c r="V12" s="1"/>
      <c r="W12" s="1"/>
      <c r="X12" s="1"/>
      <c r="Y12" s="1"/>
      <c r="Z12" s="1"/>
    </row>
    <row r="13" ht="13.5" customHeight="1">
      <c r="A13" s="1"/>
      <c r="B13" s="29"/>
      <c r="C13" s="22" t="s">
        <v>39</v>
      </c>
      <c r="D13" s="22">
        <v>1.0</v>
      </c>
      <c r="E13" s="31">
        <v>130000.0</v>
      </c>
      <c r="F13" s="14">
        <f t="shared" si="1"/>
        <v>130000</v>
      </c>
      <c r="G13" s="30"/>
      <c r="H13" s="1"/>
      <c r="I13" s="1"/>
      <c r="J13" s="1"/>
      <c r="K13" s="1"/>
      <c r="L13" s="1"/>
      <c r="M13" s="1"/>
      <c r="N13" s="1"/>
      <c r="O13" s="1"/>
      <c r="P13" s="1"/>
      <c r="Q13" s="1"/>
      <c r="R13" s="1"/>
      <c r="S13" s="1"/>
      <c r="T13" s="1"/>
      <c r="U13" s="1"/>
      <c r="V13" s="1"/>
      <c r="W13" s="1"/>
      <c r="X13" s="1"/>
      <c r="Y13" s="1"/>
      <c r="Z13" s="1"/>
    </row>
    <row r="14" ht="13.5" customHeight="1">
      <c r="A14" s="1"/>
      <c r="B14" s="1"/>
      <c r="C14" s="34"/>
      <c r="D14" s="34"/>
      <c r="E14" s="13" t="s">
        <v>44</v>
      </c>
      <c r="F14" s="35">
        <f>SUM(F6:F13)</f>
        <v>19100000</v>
      </c>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25.13"/>
    <col customWidth="1" min="3" max="3" width="11.38"/>
    <col customWidth="1" min="4" max="4" width="15.63"/>
    <col customWidth="1" min="5" max="5" width="11.38"/>
    <col customWidth="1" min="6" max="6" width="14.63"/>
    <col customWidth="1" min="7" max="7" width="16.75"/>
    <col customWidth="1" min="8" max="8" width="15.63"/>
    <col customWidth="1" min="9" max="9" width="14.63"/>
    <col customWidth="1" min="10" max="26" width="11.38"/>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8" t="s">
        <v>3</v>
      </c>
      <c r="C3" s="1"/>
      <c r="D3" s="17">
        <f>'PRESUPUESTO DE MARKETING'!C19+'PRESUPUESTO DE MARKETING'!H27+'INVERSION INICIAL'!F14</f>
        <v>54950361.12</v>
      </c>
      <c r="E3" s="1" t="s">
        <v>21</v>
      </c>
      <c r="F3" s="1"/>
      <c r="G3" s="1"/>
      <c r="H3" s="24">
        <f>'PRESUPUESTO DE MARKETING'!C19+'PRESUPUESTO DE MARKETING'!H27+'INVERSION INICIAL'!F13</f>
        <v>35980361.12</v>
      </c>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11" t="s">
        <v>32</v>
      </c>
      <c r="C5" s="1"/>
      <c r="D5" s="1"/>
      <c r="E5" s="1"/>
      <c r="F5" s="1"/>
      <c r="G5" s="24"/>
      <c r="H5" s="24"/>
      <c r="I5" s="1"/>
      <c r="J5" s="1"/>
      <c r="K5" s="1"/>
      <c r="L5" s="1"/>
      <c r="M5" s="1"/>
      <c r="N5" s="1"/>
      <c r="O5" s="1"/>
      <c r="P5" s="1"/>
      <c r="Q5" s="1"/>
      <c r="R5" s="1"/>
      <c r="S5" s="1"/>
      <c r="T5" s="1"/>
      <c r="U5" s="1"/>
      <c r="V5" s="1"/>
      <c r="W5" s="1"/>
      <c r="X5" s="1"/>
      <c r="Y5" s="1"/>
      <c r="Z5" s="1"/>
    </row>
    <row r="6" ht="13.5" customHeight="1">
      <c r="A6" s="1"/>
      <c r="B6" s="13" t="s">
        <v>34</v>
      </c>
      <c r="C6" s="1"/>
      <c r="D6" s="16">
        <v>1.4807161E7</v>
      </c>
      <c r="E6" s="1"/>
      <c r="F6" s="1"/>
      <c r="G6" s="24"/>
      <c r="H6" s="24"/>
      <c r="I6" s="1"/>
      <c r="J6" s="1"/>
      <c r="K6" s="1"/>
      <c r="L6" s="1"/>
      <c r="M6" s="1"/>
      <c r="N6" s="1"/>
      <c r="O6" s="1"/>
      <c r="P6" s="1"/>
      <c r="Q6" s="1"/>
      <c r="R6" s="1"/>
      <c r="S6" s="1"/>
      <c r="T6" s="1"/>
      <c r="U6" s="1"/>
      <c r="V6" s="1"/>
      <c r="W6" s="1"/>
      <c r="X6" s="1"/>
      <c r="Y6" s="1"/>
      <c r="Z6" s="1"/>
    </row>
    <row r="7" ht="13.5" customHeight="1">
      <c r="A7" s="1"/>
      <c r="B7" s="13" t="s">
        <v>37</v>
      </c>
      <c r="C7" s="1"/>
      <c r="D7" s="14">
        <v>1.0E7</v>
      </c>
      <c r="E7" s="1"/>
      <c r="F7" s="24">
        <f>D3-D14</f>
        <v>143200.12</v>
      </c>
      <c r="G7" s="1"/>
      <c r="H7" s="1"/>
      <c r="I7" s="1"/>
      <c r="J7" s="1"/>
      <c r="K7" s="1"/>
      <c r="L7" s="1"/>
      <c r="M7" s="1"/>
      <c r="N7" s="1"/>
      <c r="O7" s="1"/>
      <c r="P7" s="1"/>
      <c r="Q7" s="1"/>
      <c r="R7" s="1"/>
      <c r="S7" s="1"/>
      <c r="T7" s="1"/>
      <c r="U7" s="1"/>
      <c r="V7" s="1"/>
      <c r="W7" s="1"/>
      <c r="X7" s="1"/>
      <c r="Y7" s="1"/>
      <c r="Z7" s="1"/>
    </row>
    <row r="8" ht="13.5" customHeight="1">
      <c r="A8" s="1"/>
      <c r="B8" s="13" t="s">
        <v>42</v>
      </c>
      <c r="C8" s="1"/>
      <c r="D8" s="14">
        <v>0.0</v>
      </c>
      <c r="E8" s="1"/>
      <c r="F8" s="1"/>
      <c r="G8" s="24"/>
      <c r="H8" s="24"/>
      <c r="I8" s="1"/>
      <c r="J8" s="1"/>
      <c r="K8" s="1"/>
      <c r="L8" s="1"/>
      <c r="M8" s="1"/>
      <c r="N8" s="1"/>
      <c r="O8" s="1"/>
      <c r="P8" s="1"/>
      <c r="Q8" s="1"/>
      <c r="R8" s="1"/>
      <c r="S8" s="1"/>
      <c r="T8" s="1"/>
      <c r="U8" s="1"/>
      <c r="V8" s="1"/>
      <c r="W8" s="1"/>
      <c r="X8" s="1"/>
      <c r="Y8" s="1"/>
      <c r="Z8" s="1"/>
    </row>
    <row r="9" ht="13.5" customHeight="1">
      <c r="A9" s="1"/>
      <c r="B9" s="13" t="s">
        <v>45</v>
      </c>
      <c r="C9" s="1"/>
      <c r="D9" s="16">
        <v>0.0</v>
      </c>
      <c r="E9" s="1"/>
      <c r="F9" s="1"/>
      <c r="G9" s="24"/>
      <c r="H9" s="24"/>
      <c r="I9" s="1"/>
      <c r="J9" s="1"/>
      <c r="K9" s="1"/>
      <c r="L9" s="1"/>
      <c r="M9" s="1"/>
      <c r="N9" s="1"/>
      <c r="O9" s="1"/>
      <c r="P9" s="1"/>
      <c r="Q9" s="1"/>
      <c r="R9" s="1"/>
      <c r="S9" s="1"/>
      <c r="T9" s="1"/>
      <c r="U9" s="1"/>
      <c r="V9" s="1"/>
      <c r="W9" s="1"/>
      <c r="X9" s="1"/>
      <c r="Y9" s="1"/>
      <c r="Z9" s="1"/>
    </row>
    <row r="10" ht="13.5" customHeight="1">
      <c r="A10" s="1"/>
      <c r="B10" s="13" t="s">
        <v>46</v>
      </c>
      <c r="C10" s="1"/>
      <c r="D10" s="14">
        <v>0.0</v>
      </c>
      <c r="E10" s="1"/>
      <c r="F10" s="1"/>
      <c r="G10" s="24"/>
      <c r="H10" s="24"/>
      <c r="I10" s="1"/>
      <c r="J10" s="1"/>
      <c r="K10" s="1"/>
      <c r="L10" s="1"/>
      <c r="M10" s="1"/>
      <c r="N10" s="1"/>
      <c r="O10" s="1"/>
      <c r="P10" s="1"/>
      <c r="Q10" s="1"/>
      <c r="R10" s="1"/>
      <c r="S10" s="1"/>
      <c r="T10" s="1"/>
      <c r="U10" s="1"/>
      <c r="V10" s="1"/>
      <c r="W10" s="1"/>
      <c r="X10" s="1"/>
      <c r="Y10" s="1"/>
      <c r="Z10" s="1"/>
    </row>
    <row r="11" ht="13.5" customHeight="1">
      <c r="A11" s="1"/>
      <c r="B11" s="13" t="s">
        <v>49</v>
      </c>
      <c r="C11" s="1"/>
      <c r="D11" s="14">
        <v>0.0</v>
      </c>
      <c r="E11" s="1"/>
      <c r="F11" s="1"/>
      <c r="G11" s="1"/>
      <c r="H11" s="1"/>
      <c r="I11" s="1"/>
      <c r="J11" s="1"/>
      <c r="K11" s="1"/>
      <c r="L11" s="1"/>
      <c r="M11" s="1"/>
      <c r="N11" s="1"/>
      <c r="O11" s="1"/>
      <c r="P11" s="1"/>
      <c r="Q11" s="1"/>
      <c r="R11" s="1"/>
      <c r="S11" s="1"/>
      <c r="T11" s="1"/>
      <c r="U11" s="1"/>
      <c r="V11" s="1"/>
      <c r="W11" s="1"/>
      <c r="X11" s="1"/>
      <c r="Y11" s="1"/>
      <c r="Z11" s="1"/>
    </row>
    <row r="12" ht="13.5" customHeight="1">
      <c r="A12" s="1"/>
      <c r="B12" s="13" t="s">
        <v>50</v>
      </c>
      <c r="C12" s="1"/>
      <c r="D12" s="14">
        <v>0.0</v>
      </c>
      <c r="E12" s="1"/>
      <c r="F12" s="1"/>
      <c r="G12" s="24"/>
      <c r="H12" s="24"/>
      <c r="I12" s="24"/>
      <c r="J12" s="1"/>
      <c r="K12" s="1"/>
      <c r="L12" s="1"/>
      <c r="M12" s="1"/>
      <c r="N12" s="1"/>
      <c r="O12" s="1"/>
      <c r="P12" s="1"/>
      <c r="Q12" s="1"/>
      <c r="R12" s="1"/>
      <c r="S12" s="1"/>
      <c r="T12" s="1"/>
      <c r="U12" s="1"/>
      <c r="V12" s="1"/>
      <c r="W12" s="1"/>
      <c r="X12" s="1"/>
      <c r="Y12" s="1"/>
      <c r="Z12" s="1"/>
    </row>
    <row r="13" ht="13.5" customHeight="1">
      <c r="A13" s="1"/>
      <c r="B13" s="13" t="s">
        <v>51</v>
      </c>
      <c r="C13" s="1"/>
      <c r="D13" s="16">
        <v>3.0E7</v>
      </c>
      <c r="E13" s="1"/>
      <c r="F13" s="1"/>
      <c r="G13" s="1"/>
      <c r="H13" s="1"/>
      <c r="I13" s="1"/>
      <c r="J13" s="1"/>
      <c r="K13" s="1"/>
      <c r="L13" s="1"/>
      <c r="M13" s="1"/>
      <c r="N13" s="1"/>
      <c r="O13" s="1"/>
      <c r="P13" s="1"/>
      <c r="Q13" s="1"/>
      <c r="R13" s="1"/>
      <c r="S13" s="1"/>
      <c r="T13" s="1"/>
      <c r="U13" s="1"/>
      <c r="V13" s="1"/>
      <c r="W13" s="1"/>
      <c r="X13" s="1"/>
      <c r="Y13" s="1"/>
      <c r="Z13" s="1"/>
    </row>
    <row r="14" ht="13.5" customHeight="1">
      <c r="A14" s="1"/>
      <c r="B14" s="8" t="s">
        <v>52</v>
      </c>
      <c r="C14" s="40"/>
      <c r="D14" s="42">
        <f>SUM(D6:D13)</f>
        <v>54807161</v>
      </c>
      <c r="E14" s="1"/>
      <c r="F14" s="1"/>
      <c r="G14" s="24"/>
      <c r="H14" s="24"/>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1.38"/>
    <col customWidth="1" min="4" max="4" width="25.63"/>
    <col customWidth="1" min="5" max="5" width="11.38"/>
    <col customWidth="1" min="6" max="6" width="20.0"/>
    <col customWidth="1" min="7" max="11" width="17.75"/>
    <col customWidth="1" min="12" max="26" width="11.38"/>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
      <c r="C3" s="1"/>
      <c r="D3" s="13"/>
      <c r="E3" s="13"/>
      <c r="F3" s="11" t="s">
        <v>113</v>
      </c>
      <c r="G3" s="11" t="s">
        <v>114</v>
      </c>
      <c r="H3" s="11" t="s">
        <v>115</v>
      </c>
      <c r="I3" s="11" t="s">
        <v>116</v>
      </c>
      <c r="J3" s="11" t="s">
        <v>117</v>
      </c>
      <c r="K3" s="11" t="s">
        <v>118</v>
      </c>
      <c r="L3" s="1"/>
      <c r="M3" s="1"/>
      <c r="N3" s="1"/>
      <c r="O3" s="1"/>
      <c r="P3" s="1"/>
      <c r="Q3" s="1"/>
      <c r="R3" s="1"/>
      <c r="S3" s="1"/>
      <c r="T3" s="1"/>
      <c r="U3" s="1"/>
      <c r="V3" s="1"/>
      <c r="W3" s="1"/>
      <c r="X3" s="1"/>
      <c r="Y3" s="1"/>
      <c r="Z3" s="1"/>
    </row>
    <row r="4" ht="13.5" customHeight="1">
      <c r="A4" s="1"/>
      <c r="B4" s="1"/>
      <c r="C4" s="1"/>
      <c r="D4" s="8" t="s">
        <v>119</v>
      </c>
      <c r="E4" s="13"/>
      <c r="F4" s="13"/>
      <c r="G4" s="13"/>
      <c r="H4" s="13"/>
      <c r="I4" s="13"/>
      <c r="J4" s="13"/>
      <c r="K4" s="13"/>
      <c r="L4" s="1"/>
      <c r="M4" s="1"/>
      <c r="N4" s="1"/>
      <c r="O4" s="1"/>
      <c r="P4" s="1"/>
      <c r="Q4" s="1"/>
      <c r="R4" s="1"/>
      <c r="S4" s="1"/>
      <c r="T4" s="1"/>
      <c r="U4" s="1"/>
      <c r="V4" s="1"/>
      <c r="W4" s="1"/>
      <c r="X4" s="1"/>
      <c r="Y4" s="1"/>
      <c r="Z4" s="1"/>
    </row>
    <row r="5" ht="13.5" customHeight="1">
      <c r="A5" s="1"/>
      <c r="B5" s="1"/>
      <c r="C5" s="1"/>
      <c r="D5" s="88" t="s">
        <v>90</v>
      </c>
      <c r="E5" s="14"/>
      <c r="F5" s="14">
        <f>'PRESUPUESTO DE MARKETING'!E32*12</f>
        <v>549199860</v>
      </c>
      <c r="G5" s="14">
        <f t="shared" ref="G5:K5" si="1">F5*$F$17</f>
        <v>583469931.3</v>
      </c>
      <c r="H5" s="14">
        <f t="shared" si="1"/>
        <v>619878455</v>
      </c>
      <c r="I5" s="14">
        <f t="shared" si="1"/>
        <v>658558870.6</v>
      </c>
      <c r="J5" s="14">
        <f t="shared" si="1"/>
        <v>699652944.1</v>
      </c>
      <c r="K5" s="14">
        <f t="shared" si="1"/>
        <v>743311287.8</v>
      </c>
      <c r="L5" s="1"/>
      <c r="M5" s="1"/>
      <c r="N5" s="1"/>
      <c r="O5" s="1"/>
      <c r="P5" s="1"/>
      <c r="Q5" s="1"/>
      <c r="R5" s="1"/>
      <c r="S5" s="1"/>
      <c r="T5" s="1"/>
      <c r="U5" s="1"/>
      <c r="V5" s="1"/>
      <c r="W5" s="1"/>
      <c r="X5" s="1"/>
      <c r="Y5" s="1"/>
      <c r="Z5" s="1"/>
    </row>
    <row r="6" ht="13.5" customHeight="1">
      <c r="A6" s="1"/>
      <c r="B6" s="1"/>
      <c r="C6" s="1"/>
      <c r="D6" s="88" t="s">
        <v>120</v>
      </c>
      <c r="E6" s="14"/>
      <c r="F6" s="89">
        <f>'CAPITAL INICIAL'!D3</f>
        <v>54950361.12</v>
      </c>
      <c r="G6" s="14">
        <v>0.0</v>
      </c>
      <c r="H6" s="14">
        <v>0.0</v>
      </c>
      <c r="I6" s="14">
        <v>0.0</v>
      </c>
      <c r="J6" s="14"/>
      <c r="K6" s="14">
        <v>0.0</v>
      </c>
      <c r="L6" s="1"/>
      <c r="M6" s="1"/>
      <c r="N6" s="1"/>
      <c r="O6" s="1"/>
      <c r="P6" s="1"/>
      <c r="Q6" s="1"/>
      <c r="R6" s="1"/>
      <c r="S6" s="1"/>
      <c r="T6" s="1"/>
      <c r="U6" s="1"/>
      <c r="V6" s="1"/>
      <c r="W6" s="1"/>
      <c r="X6" s="1"/>
      <c r="Y6" s="1"/>
      <c r="Z6" s="1"/>
    </row>
    <row r="7" ht="13.5" customHeight="1">
      <c r="A7" s="1"/>
      <c r="B7" s="1"/>
      <c r="C7" s="1"/>
      <c r="D7" s="8" t="s">
        <v>121</v>
      </c>
      <c r="E7" s="14">
        <f t="shared" ref="E7:K7" si="2">SUM(E5:E6)</f>
        <v>0</v>
      </c>
      <c r="F7" s="42">
        <f t="shared" si="2"/>
        <v>604150221.1</v>
      </c>
      <c r="G7" s="42">
        <f t="shared" si="2"/>
        <v>583469931.3</v>
      </c>
      <c r="H7" s="42">
        <f t="shared" si="2"/>
        <v>619878455</v>
      </c>
      <c r="I7" s="42">
        <f t="shared" si="2"/>
        <v>658558870.6</v>
      </c>
      <c r="J7" s="42">
        <f t="shared" si="2"/>
        <v>699652944.1</v>
      </c>
      <c r="K7" s="42">
        <f t="shared" si="2"/>
        <v>743311287.8</v>
      </c>
      <c r="L7" s="1"/>
      <c r="M7" s="1"/>
      <c r="N7" s="1"/>
      <c r="O7" s="1"/>
      <c r="P7" s="1"/>
      <c r="Q7" s="1"/>
      <c r="R7" s="1"/>
      <c r="S7" s="1"/>
      <c r="T7" s="1"/>
      <c r="U7" s="1"/>
      <c r="V7" s="1"/>
      <c r="W7" s="1"/>
      <c r="X7" s="1"/>
      <c r="Y7" s="1"/>
      <c r="Z7" s="1"/>
    </row>
    <row r="8" ht="13.5" customHeight="1">
      <c r="A8" s="1"/>
      <c r="B8" s="1"/>
      <c r="C8" s="1"/>
      <c r="D8" s="8" t="s">
        <v>122</v>
      </c>
      <c r="E8" s="14"/>
      <c r="F8" s="13"/>
      <c r="G8" s="13"/>
      <c r="H8" s="13"/>
      <c r="I8" s="13"/>
      <c r="J8" s="13"/>
      <c r="K8" s="13"/>
      <c r="L8" s="1"/>
      <c r="M8" s="1"/>
      <c r="N8" s="1"/>
      <c r="O8" s="1"/>
      <c r="P8" s="1"/>
      <c r="Q8" s="1"/>
      <c r="R8" s="1"/>
      <c r="S8" s="1"/>
      <c r="T8" s="1"/>
      <c r="U8" s="1"/>
      <c r="V8" s="1"/>
      <c r="W8" s="1"/>
      <c r="X8" s="1"/>
      <c r="Y8" s="1"/>
      <c r="Z8" s="1"/>
    </row>
    <row r="9" ht="13.5" customHeight="1">
      <c r="A9" s="1"/>
      <c r="B9" s="1"/>
      <c r="C9" s="1"/>
      <c r="D9" s="88" t="s">
        <v>83</v>
      </c>
      <c r="E9" s="14"/>
      <c r="F9" s="14">
        <f>'PRESUPUESTO DE MARKETING'!C19*12</f>
        <v>269989140</v>
      </c>
      <c r="G9" s="14">
        <f t="shared" ref="G9:K9" si="3">F9*$F$17</f>
        <v>286836462.3</v>
      </c>
      <c r="H9" s="14">
        <f t="shared" si="3"/>
        <v>304735057.6</v>
      </c>
      <c r="I9" s="14">
        <f t="shared" si="3"/>
        <v>323750525.2</v>
      </c>
      <c r="J9" s="14">
        <f t="shared" si="3"/>
        <v>343952558</v>
      </c>
      <c r="K9" s="14">
        <f t="shared" si="3"/>
        <v>365415197.6</v>
      </c>
      <c r="L9" s="1"/>
      <c r="M9" s="1"/>
      <c r="N9" s="1"/>
      <c r="O9" s="1"/>
      <c r="P9" s="1"/>
      <c r="Q9" s="1"/>
      <c r="R9" s="1"/>
      <c r="S9" s="1"/>
      <c r="T9" s="1"/>
      <c r="U9" s="1"/>
      <c r="V9" s="1"/>
      <c r="W9" s="1"/>
      <c r="X9" s="1"/>
      <c r="Y9" s="1"/>
      <c r="Z9" s="1"/>
    </row>
    <row r="10" ht="13.5" customHeight="1">
      <c r="A10" s="1"/>
      <c r="B10" s="1"/>
      <c r="C10" s="1"/>
      <c r="D10" s="88" t="s">
        <v>95</v>
      </c>
      <c r="E10" s="14"/>
      <c r="F10" s="14">
        <f>'PRESUPUESTO DE MARKETING'!H27*12</f>
        <v>160215193.4</v>
      </c>
      <c r="G10" s="14">
        <f t="shared" ref="G10:K10" si="4">F10*$F$17</f>
        <v>170212621.5</v>
      </c>
      <c r="H10" s="14">
        <f t="shared" si="4"/>
        <v>180833889.1</v>
      </c>
      <c r="I10" s="14">
        <f t="shared" si="4"/>
        <v>192117923.8</v>
      </c>
      <c r="J10" s="14">
        <f t="shared" si="4"/>
        <v>204106082.2</v>
      </c>
      <c r="K10" s="14">
        <f t="shared" si="4"/>
        <v>216842301.7</v>
      </c>
      <c r="L10" s="1"/>
      <c r="M10" s="1"/>
      <c r="N10" s="1"/>
      <c r="O10" s="1"/>
      <c r="P10" s="1"/>
      <c r="Q10" s="1"/>
      <c r="R10" s="1"/>
      <c r="S10" s="1"/>
      <c r="T10" s="1"/>
      <c r="U10" s="1"/>
      <c r="V10" s="1"/>
      <c r="W10" s="1"/>
      <c r="X10" s="1"/>
      <c r="Y10" s="1"/>
      <c r="Z10" s="1"/>
    </row>
    <row r="11" ht="13.5" hidden="1" customHeight="1">
      <c r="A11" s="1"/>
      <c r="B11" s="1"/>
      <c r="C11" s="1"/>
      <c r="D11" s="88" t="s">
        <v>123</v>
      </c>
      <c r="E11" s="14"/>
      <c r="F11" s="14">
        <v>0.0</v>
      </c>
      <c r="G11" s="13"/>
      <c r="H11" s="13"/>
      <c r="I11" s="13"/>
      <c r="J11" s="13"/>
      <c r="K11" s="13"/>
      <c r="L11" s="1"/>
      <c r="M11" s="1"/>
      <c r="N11" s="1"/>
      <c r="O11" s="1"/>
      <c r="P11" s="1"/>
      <c r="Q11" s="1"/>
      <c r="R11" s="1"/>
      <c r="S11" s="1"/>
      <c r="T11" s="1"/>
      <c r="U11" s="1"/>
      <c r="V11" s="1"/>
      <c r="W11" s="1"/>
      <c r="X11" s="1"/>
      <c r="Y11" s="1"/>
      <c r="Z11" s="1"/>
    </row>
    <row r="12" ht="13.5" customHeight="1">
      <c r="A12" s="1"/>
      <c r="B12" s="1"/>
      <c r="C12" s="1"/>
      <c r="D12" s="88" t="s">
        <v>124</v>
      </c>
      <c r="E12" s="14"/>
      <c r="F12" s="90">
        <f>'PRESUPUESTO DE MARKETING'!J39*12</f>
        <v>4410866.179</v>
      </c>
      <c r="G12" s="90">
        <f t="shared" ref="G12:H12" si="5">F12</f>
        <v>4410866.179</v>
      </c>
      <c r="H12" s="90">
        <f t="shared" si="5"/>
        <v>4410866.179</v>
      </c>
      <c r="I12" s="90"/>
      <c r="J12" s="90" t="str">
        <f t="shared" ref="J12:K12" si="6">I12</f>
        <v/>
      </c>
      <c r="K12" s="90" t="str">
        <f t="shared" si="6"/>
        <v/>
      </c>
      <c r="L12" s="1"/>
      <c r="M12" s="1"/>
      <c r="N12" s="1"/>
      <c r="O12" s="1"/>
      <c r="P12" s="1"/>
      <c r="Q12" s="1"/>
      <c r="R12" s="1"/>
      <c r="S12" s="1"/>
      <c r="T12" s="1"/>
      <c r="U12" s="1"/>
      <c r="V12" s="1"/>
      <c r="W12" s="1"/>
      <c r="X12" s="1"/>
      <c r="Y12" s="1"/>
      <c r="Z12" s="1"/>
    </row>
    <row r="13" ht="13.5" customHeight="1">
      <c r="A13" s="1"/>
      <c r="B13" s="1"/>
      <c r="C13" s="1"/>
      <c r="D13" s="88" t="s">
        <v>125</v>
      </c>
      <c r="E13" s="14"/>
      <c r="F13" s="89">
        <f>'INVERSION INICIAL'!F14</f>
        <v>19100000</v>
      </c>
      <c r="G13" s="14">
        <v>0.0</v>
      </c>
      <c r="H13" s="14">
        <v>0.0</v>
      </c>
      <c r="I13" s="14">
        <v>0.0</v>
      </c>
      <c r="J13" s="14">
        <v>0.0</v>
      </c>
      <c r="K13" s="14">
        <v>0.0</v>
      </c>
      <c r="L13" s="1"/>
      <c r="M13" s="1"/>
      <c r="N13" s="1"/>
      <c r="O13" s="1"/>
      <c r="P13" s="1"/>
      <c r="Q13" s="1"/>
      <c r="R13" s="1"/>
      <c r="S13" s="1"/>
      <c r="T13" s="1"/>
      <c r="U13" s="1"/>
      <c r="V13" s="1"/>
      <c r="W13" s="1"/>
      <c r="X13" s="1"/>
      <c r="Y13" s="1"/>
      <c r="Z13" s="1"/>
    </row>
    <row r="14" ht="13.5" customHeight="1">
      <c r="A14" s="1"/>
      <c r="B14" s="1"/>
      <c r="C14" s="1"/>
      <c r="D14" s="8" t="s">
        <v>126</v>
      </c>
      <c r="E14" s="14">
        <f t="shared" ref="E14:K14" si="7">SUM(E9:E13)</f>
        <v>0</v>
      </c>
      <c r="F14" s="42">
        <f t="shared" si="7"/>
        <v>453715199.6</v>
      </c>
      <c r="G14" s="42">
        <f t="shared" si="7"/>
        <v>461459950</v>
      </c>
      <c r="H14" s="42">
        <f t="shared" si="7"/>
        <v>489979812.9</v>
      </c>
      <c r="I14" s="42">
        <f t="shared" si="7"/>
        <v>515868449</v>
      </c>
      <c r="J14" s="42">
        <f t="shared" si="7"/>
        <v>548058640.2</v>
      </c>
      <c r="K14" s="42">
        <f t="shared" si="7"/>
        <v>582257499.3</v>
      </c>
      <c r="L14" s="1"/>
      <c r="M14" s="1"/>
      <c r="N14" s="1"/>
      <c r="O14" s="1"/>
      <c r="P14" s="1"/>
      <c r="Q14" s="1"/>
      <c r="R14" s="1"/>
      <c r="S14" s="1"/>
      <c r="T14" s="1"/>
      <c r="U14" s="1"/>
      <c r="V14" s="1"/>
      <c r="W14" s="1"/>
      <c r="X14" s="1"/>
      <c r="Y14" s="1"/>
      <c r="Z14" s="1"/>
    </row>
    <row r="15" ht="13.5" customHeight="1">
      <c r="A15" s="1"/>
      <c r="B15" s="1"/>
      <c r="C15" s="1"/>
      <c r="D15" s="8" t="s">
        <v>111</v>
      </c>
      <c r="E15" s="14">
        <f t="shared" ref="E15:K15" si="8">E7-E14</f>
        <v>0</v>
      </c>
      <c r="F15" s="42">
        <f t="shared" si="8"/>
        <v>150435021.5</v>
      </c>
      <c r="G15" s="42">
        <f t="shared" si="8"/>
        <v>122009981.2</v>
      </c>
      <c r="H15" s="42">
        <f t="shared" si="8"/>
        <v>129898642.1</v>
      </c>
      <c r="I15" s="42">
        <f t="shared" si="8"/>
        <v>142690421.6</v>
      </c>
      <c r="J15" s="42">
        <f t="shared" si="8"/>
        <v>151594303.9</v>
      </c>
      <c r="K15" s="42">
        <f t="shared" si="8"/>
        <v>161053788.5</v>
      </c>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40" t="s">
        <v>127</v>
      </c>
      <c r="E17" s="40"/>
      <c r="F17" s="40">
        <f>1+0.0624</f>
        <v>1.0624</v>
      </c>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9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2025-04-03T21:41:53Z</dcterms:created>
  <dc:creator>Jhonathan Bernal</dc:creator>
</cp:coreProperties>
</file>